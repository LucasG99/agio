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jection_12M" sheetId="2" state="visible" r:id="rId4"/>
    <sheet name="Projection_36M" sheetId="3" state="visible" r:id="rId5"/>
    <sheet name="Financial_Analysis" sheetId="4" state="visible" r:id="rId6"/>
    <sheet name="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<sst xmlns="http://schemas.openxmlformats.org/spreadsheetml/2006/main" count="199" uniqueCount="176">
  <si>
    <t xml:space="preserve">Ágio — Financial Model</t>
  </si>
  <si>
    <t xml:space="preserve">Assumptions and input variables — adjust the blue cells to simulate scenarios</t>
  </si>
  <si>
    <t xml:space="preserve">PRICING AND UNIT ECONOMICS</t>
  </si>
  <si>
    <t xml:space="preserve">Fee charged to the worker</t>
  </si>
  <si>
    <t xml:space="preserve">% Commission to firm</t>
  </si>
  <si>
    <t xml:space="preserve">Commission paid to firm</t>
  </si>
  <si>
    <t xml:space="preserve">Net Ágio revenue per transaction</t>
  </si>
  <si>
    <t xml:space="preserve">Cost of capital (FIDC) per transaction</t>
  </si>
  <si>
    <t xml:space="preserve">Pix cost per transaction</t>
  </si>
  <si>
    <t xml:space="preserve">Allocated backend/cloud cost</t>
  </si>
  <si>
    <t xml:space="preserve">KYC/antifraud cost</t>
  </si>
  <si>
    <t xml:space="preserve">Allocated support cost</t>
  </si>
  <si>
    <t xml:space="preserve">Total direct cost per transaction</t>
  </si>
  <si>
    <t xml:space="preserve">Gross margin per transaction</t>
  </si>
  <si>
    <t xml:space="preserve">OPERATIONAL ASSUMPTIONS</t>
  </si>
  <si>
    <t xml:space="preserve">Advance frequency per active user/month</t>
  </si>
  <si>
    <t xml:space="preserve">Average ticket per advance</t>
  </si>
  <si>
    <t xml:space="preserve">Total employees per firm (average)</t>
  </si>
  <si>
    <t xml:space="preserve">Activation rate at steady state (after 6 months)</t>
  </si>
  <si>
    <t xml:space="preserve">Activation rate in 1st month of operation</t>
  </si>
  <si>
    <t xml:space="preserve">FIRM ACQUISITION CURVE (12 months)</t>
  </si>
  <si>
    <t xml:space="preserve">Month</t>
  </si>
  <si>
    <t xml:space="preserve">Active firms</t>
  </si>
  <si>
    <t xml:space="preserve">Note</t>
  </si>
  <si>
    <t xml:space="preserve">Month 1</t>
  </si>
  <si>
    <t xml:space="preserve">Technical validation</t>
  </si>
  <si>
    <t xml:space="preserve">Month 2</t>
  </si>
  <si>
    <t xml:space="preserve">First conversations</t>
  </si>
  <si>
    <t xml:space="preserve">Month 3</t>
  </si>
  <si>
    <t xml:space="preserve">First pilot</t>
  </si>
  <si>
    <t xml:space="preserve">Month 4</t>
  </si>
  <si>
    <t xml:space="preserve">Refinement</t>
  </si>
  <si>
    <t xml:space="preserve">Month 5</t>
  </si>
  <si>
    <t xml:space="preserve">Second firm</t>
  </si>
  <si>
    <t xml:space="preserve">Month 6</t>
  </si>
  <si>
    <t xml:space="preserve">Acceleration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</si>
  <si>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</si>
  <si>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</si>
  <si>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</si>
  <si>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</si>
  <si>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</si>
  <si>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</si>
  <si>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Near break-even</t>
  </si>
  <si>
    <t xml:space="preserve">MONTHLY FIXED COSTS</t>
  </si>
  <si>
    <t xml:space="preserve">Phase</t>
  </si>
  <si>
    <t xml:space="preserve">Months</t>
  </si>
  <si>
    <t xml:space="preserve">Monthly cost (R$)</t>
  </si>
  <si>
    <t xml:space="preserve">Composition</t>
  </si>
  <si>
    <t xml:space="preserve">Validation</t>
  </si>
  <si>
    <t xml:space="preserve">1-3</t>
  </si>
  <si>
    <t xml:space="preserve">Claude Pro Max + hosting (Lucas solo)</t>
  </si>
  <si>
    <t xml:space="preserve">First firms</t>
  </si>
  <si>
    <t xml:space="preserve">4-6</t>
  </si>
  <si>
    <t xml:space="preserve">Dev R$6k + contractor support R$2.5k + infra/SW R$1k</t>
  </si>
  <si>
    <t xml:space="preserve">Expansion</t>
  </si>
  <si>
    <t xml:space="preserve">7-12</t>
  </si>
  <si>
    <t xml:space="preserve">Dev R$7k + support R$3k + CS R$4k + mkt R$2k + legal R$1.5k + infra R$1k</t>
  </si>
  <si>
    <t xml:space="preserve">INVESTMENT AND ANALYSIS</t>
  </si>
  <si>
    <t xml:space="preserve">Founder's initial contribution (Month 1)</t>
  </si>
  <si>
    <t xml:space="preserve">Angel investor contribution (Month 3)</t>
  </si>
  <si>
    <t xml:space="preserve">Annual discount rate for NPV</t>
  </si>
  <si>
    <t xml:space="preserve">Monthly discount rate (CDI+spread)</t>
  </si>
  <si>
    <t xml:space="preserve">Monthly projection — 12 months</t>
  </si>
  <si>
    <t xml:space="preserve">Revenue, costs, EBITDA and cash flow month by month</t>
  </si>
  <si>
    <t xml:space="preserve">Indicator</t>
  </si>
  <si>
    <t xml:space="preserve">Year 1 Total</t>
  </si>
  <si>
    <t xml:space="preserve">OPERATIONAL</t>
  </si>
  <si>
    <t xml:space="preserve">Active firms (end of month)</t>
  </si>
  <si>
    <t xml:space="preserve">Total employees in portfolio</t>
  </si>
  <si>
    <t xml:space="preserve">Average activation rate</t>
  </si>
  <si>
    <t xml:space="preserve">Active users</t>
  </si>
  <si>
    <t xml:space="preserve">Advances in the month</t>
  </si>
  <si>
    <t xml:space="preserve">REVENUE</t>
  </si>
  <si>
    <t xml:space="preserve">Gross revenue (total fee)</t>
  </si>
  <si>
    <t xml:space="preserve">(-) Commission paid to firm</t>
  </si>
  <si>
    <t xml:space="preserve">Net revenue</t>
  </si>
  <si>
    <t xml:space="preserve">DIRECT COSTS (VARIABLE)</t>
  </si>
  <si>
    <t xml:space="preserve">(-) Cost of capital (FIDC)</t>
  </si>
  <si>
    <t xml:space="preserve">(-) Pix cost</t>
  </si>
  <si>
    <t xml:space="preserve">(-) Backend/cloud cost</t>
  </si>
  <si>
    <t xml:space="preserve">(-) KYC/antifraud cost</t>
  </si>
  <si>
    <t xml:space="preserve">(-) Allocated support cost</t>
  </si>
  <si>
    <t xml:space="preserve">Total direct costs</t>
  </si>
  <si>
    <t xml:space="preserve">GROSS MARGIN</t>
  </si>
  <si>
    <t xml:space="preserve">FIXED COSTS</t>
  </si>
  <si>
    <t xml:space="preserve">(-) Monthly fixed costs</t>
  </si>
  <si>
    <t xml:space="preserve">EBITDA</t>
  </si>
  <si>
    <t xml:space="preserve">EBITDA margin (on net revenue)</t>
  </si>
  <si>
    <t xml:space="preserve">CASH FLOW</t>
  </si>
  <si>
    <t xml:space="preserve">Capital contributions</t>
  </si>
  <si>
    <t xml:space="preserve">Cash flow of the month</t>
  </si>
  <si>
    <t xml:space="preserve">Accumulated cash</t>
  </si>
  <si>
    <t xml:space="preserve">Extended projection — 36 months</t>
  </si>
  <si>
    <t xml:space="preserve">Year 1 detailed + projection of years 2 and 3 (stabilized growth)</t>
  </si>
  <si>
    <t xml:space="preserve">Year 1</t>
  </si>
  <si>
    <t xml:space="preserve">Year 2</t>
  </si>
  <si>
    <t xml:space="preserve">Year 3</t>
  </si>
  <si>
    <t xml:space="preserve">Assumption</t>
  </si>
  <si>
    <t xml:space="preserve">Growth of active firms</t>
  </si>
  <si>
    <t xml:space="preserve">Progressive growth to 35 firms in year 3</t>
  </si>
  <si>
    <t xml:space="preserve">Average active users in the year</t>
  </si>
  <si>
    <t xml:space="preserve">Year average at 30% activation</t>
  </si>
  <si>
    <t xml:space="preserve">Advances in the year</t>
  </si>
  <si>
    <t xml:space="preserve">Gross revenue</t>
  </si>
  <si>
    <t xml:space="preserve">(-) Firm commission</t>
  </si>
  <si>
    <t xml:space="preserve">(-) Direct costs</t>
  </si>
  <si>
    <t xml:space="preserve">Gross margin</t>
  </si>
  <si>
    <t xml:space="preserve">(-) Annual fixed costs</t>
  </si>
  <si>
    <t xml:space="preserve">Expanded team: senior dev + 2 support + CS + mkt + legal</t>
  </si>
  <si>
    <t xml:space="preserve">EBITDA margin</t>
  </si>
  <si>
    <t xml:space="preserve">Annual cash flow</t>
  </si>
  <si>
    <t xml:space="preserve">Financial Analysis — IRR, NPV, ROI, Break-even</t>
  </si>
  <si>
    <t xml:space="preserve">Investment viability metrics</t>
  </si>
  <si>
    <t xml:space="preserve">INITIAL INVESTMENT</t>
  </si>
  <si>
    <t xml:space="preserve">Founder's contribution</t>
  </si>
  <si>
    <t xml:space="preserve">Angel investor contribution</t>
  </si>
  <si>
    <t xml:space="preserve">Total investment</t>
  </si>
  <si>
    <t xml:space="preserve">CASH FLOWS FOR ANALYSIS</t>
  </si>
  <si>
    <t xml:space="preserve">Year</t>
  </si>
  <si>
    <t xml:space="preserve">Cash Flow</t>
  </si>
  <si>
    <t xml:space="preserve">Operational CF (no TV)</t>
  </si>
  <si>
    <t xml:space="preserve">0</t>
  </si>
  <si>
    <t xml:space="preserve">Initial investment</t>
  </si>
  <si>
    <t xml:space="preserve">1</t>
  </si>
  <si>
    <t xml:space="preserve">EBITDA Year 1</t>
  </si>
  <si>
    <t xml:space="preserve">2</t>
  </si>
  <si>
    <t xml:space="preserve">EBITDA Year 2</t>
  </si>
  <si>
    <t xml:space="preserve">3</t>
  </si>
  <si>
    <t xml:space="preserve">EBITDA Year 3</t>
  </si>
  <si>
    <t xml:space="preserve">TV</t>
  </si>
  <si>
    <t xml:space="preserve">Terminal value = 5x EBITDA Year 3 (conservative exit multiple)</t>
  </si>
  <si>
    <t xml:space="preserve">3 + TV</t>
  </si>
  <si>
    <t xml:space="preserve">Total flow in year 3</t>
  </si>
  <si>
    <t xml:space="preserve">VIABILITY METRICS</t>
  </si>
  <si>
    <t xml:space="preserve">NPV (Net Present Value)</t>
  </si>
  <si>
    <t xml:space="preserve">Operational NPV (no TV)</t>
  </si>
  <si>
    <t xml:space="preserve">IRR (Internal Rate of Return)</t>
  </si>
  <si>
    <t xml:space="preserve">p.a.</t>
  </si>
  <si>
    <t xml:space="preserve">Operational IRR (no TV)</t>
  </si>
  <si>
    <t xml:space="preserve">Return on Investment (EBITDA Year 3 / Contribution)</t>
  </si>
  <si>
    <t xml:space="preserve">Payback (years)</t>
  </si>
  <si>
    <t xml:space="preserve">OPERATIONAL BREAK-EVEN</t>
  </si>
  <si>
    <t xml:space="preserve">Monthly fixed cost (expansion phase)</t>
  </si>
  <si>
    <t xml:space="preserve">Transactions/month at break-even</t>
  </si>
  <si>
    <t xml:space="preserve">Active users at break-even</t>
  </si>
  <si>
    <t xml:space="preserve">Firms in full operation at break-even</t>
  </si>
  <si>
    <t xml:space="preserve">Scenario analysis</t>
  </si>
  <si>
    <t xml:space="preserve">Variation of key assumptions to test model sensitivity</t>
  </si>
  <si>
    <t xml:space="preserve">Pessimistic</t>
  </si>
  <si>
    <t xml:space="preserve">Base</t>
  </si>
  <si>
    <t xml:space="preserve">Optimistic</t>
  </si>
  <si>
    <t xml:space="preserve">Comment</t>
  </si>
  <si>
    <t xml:space="preserve">Active firms at end of Year 1</t>
  </si>
  <si>
    <t xml:space="preserve">Slower or faster acquisition than expected</t>
  </si>
  <si>
    <t xml:space="preserve">Activation rate at steady state</t>
  </si>
  <si>
    <t xml:space="preserve">Real employee adoption of the product</t>
  </si>
  <si>
    <t xml:space="preserve">Employees per firm (average)</t>
  </si>
  <si>
    <t xml:space="preserve">Average size of firm portfolios</t>
  </si>
  <si>
    <t xml:space="preserve">Usage frequency per user/month</t>
  </si>
  <si>
    <t xml:space="preserve">Real frequency after adoption</t>
  </si>
  <si>
    <t xml:space="preserve">Average ticket</t>
  </si>
  <si>
    <t xml:space="preserve">Average amount advanced per transaction</t>
  </si>
  <si>
    <t xml:space="preserve">Average Year 1 ramp factor (derived from Projection_12M)</t>
  </si>
  <si>
    <t xml:space="preserve">IMPACT ON RESULTS</t>
  </si>
  <si>
    <t xml:space="preserve">Metric</t>
  </si>
  <si>
    <t xml:space="preserve">Optimistic/pessimistic spread</t>
  </si>
  <si>
    <t xml:space="preserve">Average active users (Year 1)</t>
  </si>
  <si>
    <t xml:space="preserve">Annual gross revenue</t>
  </si>
  <si>
    <t xml:space="preserve">Annual gross margin</t>
  </si>
  <si>
    <t xml:space="preserve">CONCLUSION</t>
  </si>
  <si>
    <t xml:space="preserve">Pessimistic scenario</t>
  </si>
  <si>
    <t xml:space="preserve">Break-even in ~24 months, requires additional contribution in Year 2</t>
  </si>
  <si>
    <t xml:space="preserve">Base scenario</t>
  </si>
  <si>
    <t xml:space="preserve">Break-even in 14-18 months, initial contribution sufficient</t>
  </si>
  <si>
    <t xml:space="preserve">Optimistic scenario</t>
  </si>
  <si>
    <t xml:space="preserve">Break-even in 10-12 months, positive cash generation already in Year 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</si>
</sst>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;&quot;(R$ &quot;#,##0.00\);\-"/>
    <numFmt numFmtId="166" formatCode="0.0%;\(0.0%\);\-"/>
    <numFmt numFmtId="167" formatCode="#,##0;\(#,##0\);\-"/>
    <numFmt numFmtId="168" formatCode="&quot;R$ &quot;#,##0;&quot;(R$ &quot;#,##0\);\-"/>
    <numFmt numFmtId="169" formatCode="[$$-409]#,##0.00;[RED]\-[$$-409]#,##0.00"/>
    <numFmt numFmtId="170" formatCode="0.0"/>
    <numFmt numFmtId="171" formatCode="0.00\x"/>
  </numFmts>
  <fonts count="2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A7A6E"/>
      <name val="Arial"/>
      <family val="0"/>
      <charset val="1"/>
    </font>
    <font>
      <b val="true"/>
      <sz val="10"/>
      <color rgb="FF1A5C43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sz val="10"/>
      <color rgb="FFAAAAAA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A5C4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D6A4F"/>
        <bgColor rgb="FF1A5C43"/>
      </patternFill>
    </fill>
    <fill>
      <patternFill patternType="solid">
        <fgColor rgb="FFD7EFE4"/>
        <bgColor rgb="FFCCFFFF"/>
      </patternFill>
    </fill>
    <fill>
      <patternFill patternType="solid">
        <fgColor rgb="FFFFFFF0"/>
        <bgColor rgb="FFFFFFFF"/>
      </patternFill>
    </fill>
    <fill>
      <patternFill patternType="solid">
        <fgColor rgb="FF1B3D26"/>
        <bgColor rgb="FF333300"/>
      </patternFill>
    </fill>
    <fill>
      <patternFill patternType="solid">
        <fgColor rgb="FFFFF9E7"/>
        <bgColor rgb="FFFFFF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595959"/>
      <rgbColor rgb="FF9999FF"/>
      <rgbColor rgb="FF993366"/>
      <rgbColor rgb="FFFFF9E7"/>
      <rgbColor rgb="FFFF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F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A6E"/>
      <rgbColor rgb="FFAAAAAA"/>
      <rgbColor rgb="FF1A5C43"/>
      <rgbColor rgb="FF339966"/>
      <rgbColor rgb="FF003300"/>
      <rgbColor rgb="FF333300"/>
      <rgbColor rgb="FFB91C1C"/>
      <rgbColor rgb="FF993366"/>
      <rgbColor rgb="FF333399"/>
      <rgbColor rgb="FF1B3D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47.3"/>
    <col collapsed="false" customWidth="true" hidden="false" outlineLevel="0" max="3" min="2" style="1" width="17.03"/>
    <col collapsed="false" customWidth="true" hidden="false" outlineLevel="0" max="4" min="4" style="1" width="58.38"/>
    <col collapsed="false" customWidth="false" hidden="false" outlineLevel="0" max="16384" min="5" style="1" width="8.2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6" t="n">
        <v>9.9</v>
      </c>
    </row>
    <row r="6" customFormat="false" ht="15" hidden="false" customHeight="true" outlineLevel="0" collapsed="false">
      <c r="A6" s="5" t="s">
        <v>4</v>
      </c>
      <c r="B6" s="7" t="n">
        <v>0.25</v>
      </c>
    </row>
    <row r="7" customFormat="false" ht="15" hidden="false" customHeight="true" outlineLevel="0" collapsed="false">
      <c r="A7" s="5" t="s">
        <v>5</v>
      </c>
      <c r="B7" s="8" t="n">
        <f aca="false">B5*B6</f>
        <v>2.475</v>
      </c>
    </row>
    <row r="8" customFormat="false" ht="15" hidden="false" customHeight="true" outlineLevel="0" collapsed="false">
      <c r="A8" s="5" t="s">
        <v>6</v>
      </c>
      <c r="B8" s="8" t="n">
        <f aca="false">B5-B7</f>
        <v>7.425</v>
      </c>
    </row>
    <row r="9" customFormat="false" ht="15" hidden="false" customHeight="true" outlineLevel="0" collapsed="false">
      <c r="A9" s="5" t="s">
        <v>7</v>
      </c>
      <c r="B9" s="6" t="n">
        <v>2.46</v>
      </c>
    </row>
    <row r="10" customFormat="false" ht="15" hidden="false" customHeight="true" outlineLevel="0" collapsed="false">
      <c r="A10" s="5" t="s">
        <v>8</v>
      </c>
      <c r="B10" s="6" t="n">
        <v>1</v>
      </c>
    </row>
    <row r="11" customFormat="false" ht="15" hidden="false" customHeight="true" outlineLevel="0" collapsed="false">
      <c r="A11" s="5" t="s">
        <v>9</v>
      </c>
      <c r="B11" s="6" t="n">
        <v>0.4</v>
      </c>
    </row>
    <row r="12" customFormat="false" ht="15" hidden="false" customHeight="true" outlineLevel="0" collapsed="false">
      <c r="A12" s="5" t="s">
        <v>10</v>
      </c>
      <c r="B12" s="6" t="n">
        <v>0.3</v>
      </c>
    </row>
    <row r="13" customFormat="false" ht="15" hidden="false" customHeight="true" outlineLevel="0" collapsed="false">
      <c r="A13" s="5" t="s">
        <v>11</v>
      </c>
      <c r="B13" s="6" t="n">
        <v>0.5</v>
      </c>
    </row>
    <row r="14" customFormat="false" ht="15" hidden="false" customHeight="true" outlineLevel="0" collapsed="false">
      <c r="A14" s="5" t="s">
        <v>12</v>
      </c>
      <c r="B14" s="9" t="n">
        <f aca="false">SUM(B9:B13)</f>
        <v>4.66</v>
      </c>
    </row>
    <row r="15" customFormat="false" ht="15" hidden="false" customHeight="true" outlineLevel="0" collapsed="false">
      <c r="A15" s="5" t="s">
        <v>13</v>
      </c>
      <c r="B15" s="10" t="n">
        <f aca="false">B8-B14</f>
        <v>2.765</v>
      </c>
    </row>
    <row r="18" customFormat="false" ht="15" hidden="false" customHeight="true" outlineLevel="0" collapsed="false">
      <c r="A18" s="4" t="s">
        <v>14</v>
      </c>
      <c r="B18" s="4"/>
      <c r="C18" s="4"/>
      <c r="D18" s="4"/>
    </row>
    <row r="19" customFormat="false" ht="15" hidden="false" customHeight="true" outlineLevel="0" collapsed="false">
      <c r="A19" s="5" t="s">
        <v>15</v>
      </c>
      <c r="B19" s="11" t="n">
        <v>1.5</v>
      </c>
    </row>
    <row r="20" customFormat="false" ht="15" hidden="false" customHeight="true" outlineLevel="0" collapsed="false">
      <c r="A20" s="5" t="s">
        <v>16</v>
      </c>
      <c r="B20" s="6" t="n">
        <v>200</v>
      </c>
    </row>
    <row r="21" customFormat="false" ht="15" hidden="false" customHeight="true" outlineLevel="0" collapsed="false">
      <c r="A21" s="5" t="s">
        <v>17</v>
      </c>
      <c r="B21" s="11" t="n">
        <v>1500</v>
      </c>
    </row>
    <row r="22" customFormat="false" ht="15" hidden="false" customHeight="true" outlineLevel="0" collapsed="false">
      <c r="A22" s="5" t="s">
        <v>18</v>
      </c>
      <c r="B22" s="7" t="n">
        <v>0.3</v>
      </c>
    </row>
    <row r="23" customFormat="false" ht="15" hidden="false" customHeight="true" outlineLevel="0" collapsed="false">
      <c r="A23" s="5" t="s">
        <v>19</v>
      </c>
      <c r="B23" s="7" t="n">
        <v>0.05</v>
      </c>
    </row>
    <row r="26" customFormat="false" ht="15" hidden="false" customHeight="true" outlineLevel="0" collapsed="false">
      <c r="A26" s="4" t="s">
        <v>20</v>
      </c>
      <c r="B26" s="4"/>
      <c r="C26" s="4"/>
      <c r="D26" s="4"/>
    </row>
    <row r="27" customFormat="false" ht="15" hidden="false" customHeight="true" outlineLevel="0" collapsed="false">
      <c r="A27" s="12" t="s">
        <v>21</v>
      </c>
      <c r="B27" s="12" t="s">
        <v>22</v>
      </c>
      <c r="C27" s="12" t="s">
        <v>23</v>
      </c>
    </row>
    <row r="28" customFormat="false" ht="15" hidden="false" customHeight="true" outlineLevel="0" collapsed="false">
      <c r="A28" s="1" t="s">
        <v>24</v>
      </c>
      <c r="B28" s="11" t="n">
        <v>0</v>
      </c>
      <c r="C28" s="13" t="s">
        <v>25</v>
      </c>
    </row>
    <row r="29" customFormat="false" ht="15" hidden="false" customHeight="true" outlineLevel="0" collapsed="false">
      <c r="A29" s="1" t="s">
        <v>26</v>
      </c>
      <c r="B29" s="11" t="n">
        <v>0</v>
      </c>
      <c r="C29" s="13" t="s">
        <v>27</v>
      </c>
    </row>
    <row r="30" customFormat="false" ht="15" hidden="false" customHeight="true" outlineLevel="0" collapsed="false">
      <c r="A30" s="1" t="s">
        <v>28</v>
      </c>
      <c r="B30" s="11" t="n">
        <v>1</v>
      </c>
      <c r="C30" s="13" t="s">
        <v>29</v>
      </c>
    </row>
    <row r="31" customFormat="false" ht="15" hidden="false" customHeight="true" outlineLevel="0" collapsed="false">
      <c r="A31" s="1" t="s">
        <v>30</v>
      </c>
      <c r="B31" s="11" t="n">
        <v>1</v>
      </c>
      <c r="C31" s="13" t="s">
        <v>31</v>
      </c>
    </row>
    <row r="32" customFormat="false" ht="15" hidden="false" customHeight="true" outlineLevel="0" collapsed="false">
      <c r="A32" s="1" t="s">
        <v>32</v>
      </c>
      <c r="B32" s="11" t="n">
        <v>2</v>
      </c>
      <c r="C32" s="13" t="s">
        <v>33</v>
      </c>
    </row>
    <row r="33" customFormat="false" ht="15" hidden="false" customHeight="true" outlineLevel="0" collapsed="false">
      <c r="A33" s="1" t="s">
        <v>34</v>
      </c>
      <c r="B33" s="11" t="n">
        <v>3</v>
      </c>
      <c r="C33" s="13" t="s">
        <v>35</v>
      </c>
    </row>
    <row r="34" customFormat="false" ht="15" hidden="false" customHeight="true" outlineLevel="0" collapsed="false">
      <c r="A34" s="1" t="s">
        <v>36</v>
      </c>
      <c r="B34" s="11" t="n">
        <v>4</v>
      </c>
      <c r="C34" s="13"/>
    </row>
    <row r="35" customFormat="false" ht="15" hidden="false" customHeight="true" outlineLevel="0" collapsed="false">
      <c r="A35" s="1" t="s">
        <v>37</v>
      </c>
      <c r="B35" s="11" t="n">
        <v>5</v>
      </c>
      <c r="C35" s="13"/>
    </row>
    <row r="36" customFormat="false" ht="15" hidden="false" customHeight="true" outlineLevel="0" collapsed="false">
      <c r="A36" s="1" t="s">
        <v>38</v>
      </c>
      <c r="B36" s="11" t="n">
        <v>6</v>
      </c>
      <c r="C36" s="13"/>
    </row>
    <row r="37" customFormat="false" ht="15" hidden="false" customHeight="true" outlineLevel="0" collapsed="false">
      <c r="A37" s="1" t="s">
        <v>39</v>
      </c>
      <c r="B37" s="11" t="n">
        <v>7</v>
      </c>
      <c r="C37" s="13"/>
    </row>
    <row r="38" customFormat="false" ht="15" hidden="false" customHeight="true" outlineLevel="0" collapsed="false">
      <c r="A38" s="1" t="s">
        <v>40</v>
      </c>
      <c r="B38" s="11" t="n">
        <v>8</v>
      </c>
      <c r="C38" s="13"/>
    </row>
    <row r="39" customFormat="false" ht="15" hidden="false" customHeight="true" outlineLevel="0" collapsed="false">
      <c r="A39" s="1" t="s">
        <v>41</v>
      </c>
      <c r="B39" s="11" t="n">
        <v>9</v>
      </c>
      <c r="C39" s="13" t="s">
        <v>42</v>
      </c>
    </row>
    <row r="42" customFormat="false" ht="15" hidden="false" customHeight="true" outlineLevel="0" collapsed="false">
      <c r="A42" s="4" t="s">
        <v>43</v>
      </c>
      <c r="B42" s="4"/>
      <c r="C42" s="4"/>
      <c r="D42" s="4"/>
    </row>
    <row r="43" customFormat="false" ht="15" hidden="false" customHeight="true" outlineLevel="0" collapsed="false">
      <c r="A43" s="12" t="s">
        <v>44</v>
      </c>
      <c r="B43" s="12" t="s">
        <v>45</v>
      </c>
      <c r="C43" s="12" t="s">
        <v>46</v>
      </c>
      <c r="D43" s="12" t="s">
        <v>47</v>
      </c>
    </row>
    <row r="44" customFormat="false" ht="15" hidden="false" customHeight="true" outlineLevel="0" collapsed="false">
      <c r="A44" s="5" t="s">
        <v>48</v>
      </c>
      <c r="B44" s="14" t="s">
        <v>49</v>
      </c>
      <c r="C44" s="15" t="n">
        <v>200</v>
      </c>
      <c r="D44" s="13" t="s">
        <v>50</v>
      </c>
    </row>
    <row r="45" customFormat="false" ht="15" hidden="false" customHeight="true" outlineLevel="0" collapsed="false">
      <c r="A45" s="5" t="s">
        <v>51</v>
      </c>
      <c r="B45" s="14" t="s">
        <v>52</v>
      </c>
      <c r="C45" s="15" t="n">
        <v>9500</v>
      </c>
      <c r="D45" s="13" t="s">
        <v>53</v>
      </c>
    </row>
    <row r="46" customFormat="false" ht="15" hidden="false" customHeight="true" outlineLevel="0" collapsed="false">
      <c r="A46" s="5" t="s">
        <v>54</v>
      </c>
      <c r="B46" s="14" t="s">
        <v>55</v>
      </c>
      <c r="C46" s="15" t="n">
        <v>18500</v>
      </c>
      <c r="D46" s="13" t="s">
        <v>56</v>
      </c>
    </row>
    <row r="49" customFormat="false" ht="15" hidden="false" customHeight="true" outlineLevel="0" collapsed="false">
      <c r="A49" s="4" t="s">
        <v>57</v>
      </c>
      <c r="B49" s="4"/>
      <c r="C49" s="4"/>
      <c r="D49" s="4"/>
    </row>
    <row r="50" customFormat="false" ht="15" hidden="false" customHeight="true" outlineLevel="0" collapsed="false">
      <c r="A50" s="5" t="s">
        <v>58</v>
      </c>
      <c r="B50" s="15" t="n">
        <v>3000</v>
      </c>
    </row>
    <row r="51" customFormat="false" ht="15" hidden="false" customHeight="true" outlineLevel="0" collapsed="false">
      <c r="A51" s="5" t="s">
        <v>59</v>
      </c>
      <c r="B51" s="15" t="n">
        <v>100000</v>
      </c>
    </row>
    <row r="52" customFormat="false" ht="15" hidden="false" customHeight="true" outlineLevel="0" collapsed="false">
      <c r="A52" s="5" t="s">
        <v>60</v>
      </c>
      <c r="B52" s="7" t="n">
        <v>0.15</v>
      </c>
    </row>
    <row r="53" customFormat="false" ht="15" hidden="false" customHeight="true" outlineLevel="0" collapsed="false">
      <c r="A53" s="5" t="s">
        <v>61</v>
      </c>
      <c r="B53" s="16" t="n">
        <f aca="false">(1+B52)^(1/12)-1</f>
        <v>0.0117149169198534</v>
      </c>
    </row>
  </sheetData>
  <mergeCells count="7">
    <mergeCell ref="A1:D1"/>
    <mergeCell ref="A2:D2"/>
    <mergeCell ref="A4:D4"/>
    <mergeCell ref="A18:D18"/>
    <mergeCell ref="A26:D26"/>
    <mergeCell ref="A42:D42"/>
    <mergeCell ref="A49:D49"/>
  </mergeCells>
  <printOptions headings="false" gridLines="false" gridLinesSet="true" horizontalCentered="false" verticalCentered="false"/>
  <pageMargins left="0.75" right="0.75" top="0.511805555555556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35.95"/>
    <col collapsed="false" customWidth="true" hidden="false" outlineLevel="0" max="14" min="2" style="1" width="12.3"/>
    <col collapsed="false" customWidth="false" hidden="false" outlineLevel="0" max="16384" min="15" style="1" width="8.24"/>
  </cols>
  <sheetData>
    <row r="1" customFormat="false" ht="27.75" hidden="false" customHeight="true" outlineLevel="0" collapsed="false">
      <c r="A1" s="17" t="s">
        <v>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5" hidden="false" customHeight="true" outlineLevel="0" collapsed="false">
      <c r="A2" s="3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8" t="s">
        <v>64</v>
      </c>
      <c r="B4" s="19" t="s">
        <v>24</v>
      </c>
      <c r="C4" s="19" t="s">
        <v>26</v>
      </c>
      <c r="D4" s="19" t="s">
        <v>28</v>
      </c>
      <c r="E4" s="19" t="s">
        <v>30</v>
      </c>
      <c r="F4" s="19" t="s">
        <v>32</v>
      </c>
      <c r="G4" s="19" t="s">
        <v>34</v>
      </c>
      <c r="H4" s="19" t="s">
        <v>36</v>
      </c>
      <c r="I4" s="19" t="s">
        <v>37</v>
      </c>
      <c r="J4" s="19" t="s">
        <v>38</v>
      </c>
      <c r="K4" s="19" t="s">
        <v>39</v>
      </c>
      <c r="L4" s="19" t="s">
        <v>40</v>
      </c>
      <c r="M4" s="19" t="s">
        <v>41</v>
      </c>
      <c r="N4" s="20" t="s">
        <v>65</v>
      </c>
    </row>
    <row r="5" customFormat="false" ht="15" hidden="false" customHeight="true" outlineLevel="0" collapsed="false">
      <c r="A5" s="4" t="s">
        <v>66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true" outlineLevel="0" collapsed="false">
      <c r="A6" s="5" t="s">
        <v>67</v>
      </c>
      <c r="B6" s="21" t="n">
        <f aca="false">Assumptions!B28</f>
        <v>0</v>
      </c>
      <c r="C6" s="21" t="n">
        <f aca="false">Assumptions!B29</f>
        <v>0</v>
      </c>
      <c r="D6" s="21" t="n">
        <f aca="false">Assumptions!B30</f>
        <v>1</v>
      </c>
      <c r="E6" s="21" t="n">
        <f aca="false">Assumptions!B31</f>
        <v>1</v>
      </c>
      <c r="F6" s="21" t="n">
        <f aca="false">Assumptions!B32</f>
        <v>2</v>
      </c>
      <c r="G6" s="21" t="n">
        <f aca="false">Assumptions!B33</f>
        <v>3</v>
      </c>
      <c r="H6" s="21" t="n">
        <f aca="false">Assumptions!B34</f>
        <v>4</v>
      </c>
      <c r="I6" s="21" t="n">
        <f aca="false">Assumptions!B35</f>
        <v>5</v>
      </c>
      <c r="J6" s="21" t="n">
        <f aca="false">Assumptions!B36</f>
        <v>6</v>
      </c>
      <c r="K6" s="21" t="n">
        <f aca="false">Assumptions!B37</f>
        <v>7</v>
      </c>
      <c r="L6" s="21" t="n">
        <f aca="false">Assumptions!B38</f>
        <v>8</v>
      </c>
      <c r="M6" s="21" t="n">
        <f aca="false">Assumptions!B39</f>
        <v>9</v>
      </c>
      <c r="N6" s="22" t="n">
        <f aca="false">M6</f>
        <v>9</v>
      </c>
    </row>
    <row r="7" customFormat="false" ht="15" hidden="false" customHeight="true" outlineLevel="0" collapsed="false">
      <c r="A7" s="5" t="s">
        <v>68</v>
      </c>
      <c r="B7" s="23" t="n">
        <f aca="false">B6*Assumptions!B21</f>
        <v>0</v>
      </c>
      <c r="C7" s="23" t="n">
        <f aca="false">C6*Assumptions!B21</f>
        <v>0</v>
      </c>
      <c r="D7" s="23" t="n">
        <f aca="false">D6*Assumptions!B21</f>
        <v>1500</v>
      </c>
      <c r="E7" s="23" t="n">
        <f aca="false">E6*Assumptions!B21</f>
        <v>1500</v>
      </c>
      <c r="F7" s="23" t="n">
        <f aca="false">F6*Assumptions!B21</f>
        <v>3000</v>
      </c>
      <c r="G7" s="23" t="n">
        <f aca="false">G6*Assumptions!B21</f>
        <v>4500</v>
      </c>
      <c r="H7" s="23" t="n">
        <f aca="false">H6*Assumptions!B21</f>
        <v>6000</v>
      </c>
      <c r="I7" s="23" t="n">
        <f aca="false">I6*Assumptions!B21</f>
        <v>7500</v>
      </c>
      <c r="J7" s="23" t="n">
        <f aca="false">J6*Assumptions!B21</f>
        <v>9000</v>
      </c>
      <c r="K7" s="23" t="n">
        <f aca="false">K6*Assumptions!B21</f>
        <v>10500</v>
      </c>
      <c r="L7" s="23" t="n">
        <f aca="false">L6*Assumptions!B21</f>
        <v>12000</v>
      </c>
      <c r="M7" s="23" t="n">
        <f aca="false">M6*Assumptions!B21</f>
        <v>13500</v>
      </c>
      <c r="N7" s="22" t="n">
        <f aca="false">M7</f>
        <v>13500</v>
      </c>
    </row>
    <row r="8" customFormat="false" ht="15" hidden="false" customHeight="true" outlineLevel="0" collapsed="false">
      <c r="A8" s="5" t="s">
        <v>69</v>
      </c>
      <c r="B8" s="16" t="n">
        <v>0</v>
      </c>
      <c r="C8" s="16" t="n">
        <v>0</v>
      </c>
      <c r="D8" s="16" t="n">
        <f aca="false">MIN(Assumptions!B22,Assumptions!B23+0.05*1)</f>
        <v>0.1</v>
      </c>
      <c r="E8" s="16" t="n">
        <f aca="false">MIN(Assumptions!B22,Assumptions!B23+0.05*2)</f>
        <v>0.15</v>
      </c>
      <c r="F8" s="16" t="n">
        <f aca="false">MIN(Assumptions!B22,Assumptions!B23+0.05*3)</f>
        <v>0.2</v>
      </c>
      <c r="G8" s="16" t="n">
        <f aca="false">MIN(Assumptions!B22,Assumptions!B23+0.05*4)</f>
        <v>0.25</v>
      </c>
      <c r="H8" s="16" t="n">
        <f aca="false">MIN(Assumptions!B22,Assumptions!B23+0.05*5)</f>
        <v>0.3</v>
      </c>
      <c r="I8" s="16" t="n">
        <f aca="false">MIN(Assumptions!B22,Assumptions!B23+0.05*6)</f>
        <v>0.3</v>
      </c>
      <c r="J8" s="16" t="n">
        <f aca="false">MIN(Assumptions!B22,Assumptions!B23+0.05*7)</f>
        <v>0.3</v>
      </c>
      <c r="K8" s="16" t="n">
        <f aca="false">MIN(Assumptions!B22,Assumptions!B23+0.05*8)</f>
        <v>0.3</v>
      </c>
      <c r="L8" s="16" t="n">
        <f aca="false">MIN(Assumptions!B22,Assumptions!B23+0.05*9)</f>
        <v>0.3</v>
      </c>
      <c r="M8" s="16" t="n">
        <f aca="false">MIN(Assumptions!B22,Assumptions!B23+0.05*10)</f>
        <v>0.3</v>
      </c>
      <c r="N8" s="24" t="n">
        <f aca="false">M8</f>
        <v>0.3</v>
      </c>
    </row>
    <row r="9" customFormat="false" ht="15" hidden="false" customHeight="true" outlineLevel="0" collapsed="false">
      <c r="A9" s="25" t="s">
        <v>70</v>
      </c>
      <c r="B9" s="22" t="n">
        <f aca="false">ROUND(B7*B8,0)</f>
        <v>0</v>
      </c>
      <c r="C9" s="22" t="n">
        <f aca="false">ROUND(C7*C8,0)</f>
        <v>0</v>
      </c>
      <c r="D9" s="22" t="n">
        <f aca="false">ROUND(D7*D8,0)</f>
        <v>150</v>
      </c>
      <c r="E9" s="22" t="n">
        <f aca="false">ROUND(E7*E8,0)</f>
        <v>225</v>
      </c>
      <c r="F9" s="22" t="n">
        <f aca="false">ROUND(F7*F8,0)</f>
        <v>600</v>
      </c>
      <c r="G9" s="22" t="n">
        <f aca="false">ROUND(G7*G8,0)</f>
        <v>1125</v>
      </c>
      <c r="H9" s="22" t="n">
        <f aca="false">ROUND(H7*H8,0)</f>
        <v>1800</v>
      </c>
      <c r="I9" s="22" t="n">
        <f aca="false">ROUND(I7*I8,0)</f>
        <v>2250</v>
      </c>
      <c r="J9" s="22" t="n">
        <f aca="false">ROUND(J7*J8,0)</f>
        <v>2700</v>
      </c>
      <c r="K9" s="22" t="n">
        <f aca="false">ROUND(K7*K8,0)</f>
        <v>3150</v>
      </c>
      <c r="L9" s="22" t="n">
        <f aca="false">ROUND(L7*L8,0)</f>
        <v>3600</v>
      </c>
      <c r="M9" s="22" t="n">
        <f aca="false">ROUND(M7*M8,0)</f>
        <v>4050</v>
      </c>
      <c r="N9" s="22" t="n">
        <f aca="false">M9</f>
        <v>4050</v>
      </c>
    </row>
    <row r="10" customFormat="false" ht="15" hidden="false" customHeight="true" outlineLevel="0" collapsed="false">
      <c r="A10" s="5" t="s">
        <v>71</v>
      </c>
      <c r="B10" s="23" t="n">
        <f aca="false">ROUND(B9*Assumptions!B19,0)</f>
        <v>0</v>
      </c>
      <c r="C10" s="23" t="n">
        <f aca="false">ROUND(C9*Assumptions!B19,0)</f>
        <v>0</v>
      </c>
      <c r="D10" s="23" t="n">
        <f aca="false">ROUND(D9*Assumptions!B19,0)</f>
        <v>225</v>
      </c>
      <c r="E10" s="23" t="n">
        <f aca="false">ROUND(E9*Assumptions!B19,0)</f>
        <v>338</v>
      </c>
      <c r="F10" s="23" t="n">
        <f aca="false">ROUND(F9*Assumptions!B19,0)</f>
        <v>900</v>
      </c>
      <c r="G10" s="23" t="n">
        <f aca="false">ROUND(G9*Assumptions!B19,0)</f>
        <v>1688</v>
      </c>
      <c r="H10" s="23" t="n">
        <f aca="false">ROUND(H9*Assumptions!B19,0)</f>
        <v>2700</v>
      </c>
      <c r="I10" s="23" t="n">
        <f aca="false">ROUND(I9*Assumptions!B19,0)</f>
        <v>3375</v>
      </c>
      <c r="J10" s="23" t="n">
        <f aca="false">ROUND(J9*Assumptions!B19,0)</f>
        <v>4050</v>
      </c>
      <c r="K10" s="23" t="n">
        <f aca="false">ROUND(K9*Assumptions!B19,0)</f>
        <v>4725</v>
      </c>
      <c r="L10" s="23" t="n">
        <f aca="false">ROUND(L9*Assumptions!B19,0)</f>
        <v>5400</v>
      </c>
      <c r="M10" s="23" t="n">
        <f aca="false">ROUND(M9*Assumptions!B19,0)</f>
        <v>6075</v>
      </c>
      <c r="N10" s="22" t="n">
        <f aca="false">SUM(B10:M10)</f>
        <v>29476</v>
      </c>
    </row>
    <row r="12" customFormat="false" ht="15" hidden="false" customHeight="true" outlineLevel="0" collapsed="false">
      <c r="A12" s="4" t="s">
        <v>72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true" outlineLevel="0" collapsed="false">
      <c r="A13" s="5" t="s">
        <v>73</v>
      </c>
      <c r="B13" s="26" t="n">
        <f aca="false">B10*Assumptions!B5</f>
        <v>0</v>
      </c>
      <c r="C13" s="26" t="n">
        <f aca="false">C10*Assumptions!B5</f>
        <v>0</v>
      </c>
      <c r="D13" s="26" t="n">
        <f aca="false">D10*Assumptions!B5</f>
        <v>2227.5</v>
      </c>
      <c r="E13" s="26" t="n">
        <f aca="false">E10*Assumptions!B5</f>
        <v>3346.2</v>
      </c>
      <c r="F13" s="26" t="n">
        <f aca="false">F10*Assumptions!B5</f>
        <v>8910</v>
      </c>
      <c r="G13" s="26" t="n">
        <f aca="false">G10*Assumptions!B5</f>
        <v>16711.2</v>
      </c>
      <c r="H13" s="26" t="n">
        <f aca="false">H10*Assumptions!B5</f>
        <v>26730</v>
      </c>
      <c r="I13" s="26" t="n">
        <f aca="false">I10*Assumptions!B5</f>
        <v>33412.5</v>
      </c>
      <c r="J13" s="26" t="n">
        <f aca="false">J10*Assumptions!B5</f>
        <v>40095</v>
      </c>
      <c r="K13" s="26" t="n">
        <f aca="false">K10*Assumptions!B5</f>
        <v>46777.5</v>
      </c>
      <c r="L13" s="26" t="n">
        <f aca="false">L10*Assumptions!B5</f>
        <v>53460</v>
      </c>
      <c r="M13" s="26" t="n">
        <f aca="false">M10*Assumptions!B5</f>
        <v>60142.5</v>
      </c>
      <c r="N13" s="27" t="n">
        <f aca="false">SUM(B13:M13)</f>
        <v>291812.4</v>
      </c>
    </row>
    <row r="14" customFormat="false" ht="15" hidden="false" customHeight="true" outlineLevel="0" collapsed="false">
      <c r="A14" s="5" t="s">
        <v>74</v>
      </c>
      <c r="B14" s="26" t="n">
        <f aca="false">-B10*Assumptions!B7</f>
        <v>-0</v>
      </c>
      <c r="C14" s="26" t="n">
        <f aca="false">-C10*Assumptions!B7</f>
        <v>-0</v>
      </c>
      <c r="D14" s="26" t="n">
        <f aca="false">-D10*Assumptions!B7</f>
        <v>-556.875</v>
      </c>
      <c r="E14" s="26" t="n">
        <f aca="false">-E10*Assumptions!B7</f>
        <v>-836.55</v>
      </c>
      <c r="F14" s="26" t="n">
        <f aca="false">-F10*Assumptions!B7</f>
        <v>-2227.5</v>
      </c>
      <c r="G14" s="26" t="n">
        <f aca="false">-G10*Assumptions!B7</f>
        <v>-4177.8</v>
      </c>
      <c r="H14" s="26" t="n">
        <f aca="false">-H10*Assumptions!B7</f>
        <v>-6682.5</v>
      </c>
      <c r="I14" s="26" t="n">
        <f aca="false">-I10*Assumptions!B7</f>
        <v>-8353.125</v>
      </c>
      <c r="J14" s="26" t="n">
        <f aca="false">-J10*Assumptions!B7</f>
        <v>-10023.75</v>
      </c>
      <c r="K14" s="26" t="n">
        <f aca="false">-K10*Assumptions!B7</f>
        <v>-11694.375</v>
      </c>
      <c r="L14" s="26" t="n">
        <f aca="false">-L10*Assumptions!B7</f>
        <v>-13365</v>
      </c>
      <c r="M14" s="26" t="n">
        <f aca="false">-M10*Assumptions!B7</f>
        <v>-15035.625</v>
      </c>
      <c r="N14" s="27" t="n">
        <f aca="false">SUM(B14:M14)</f>
        <v>-72953.1</v>
      </c>
    </row>
    <row r="15" customFormat="false" ht="15" hidden="false" customHeight="true" outlineLevel="0" collapsed="false">
      <c r="A15" s="25" t="s">
        <v>75</v>
      </c>
      <c r="B15" s="27" t="n">
        <f aca="false">B13+B14</f>
        <v>0</v>
      </c>
      <c r="C15" s="27" t="n">
        <f aca="false">C13+C14</f>
        <v>0</v>
      </c>
      <c r="D15" s="27" t="n">
        <f aca="false">D13+D14</f>
        <v>1670.625</v>
      </c>
      <c r="E15" s="27" t="n">
        <f aca="false">E13+E14</f>
        <v>2509.65</v>
      </c>
      <c r="F15" s="27" t="n">
        <f aca="false">F13+F14</f>
        <v>6682.5</v>
      </c>
      <c r="G15" s="27" t="n">
        <f aca="false">G13+G14</f>
        <v>12533.4</v>
      </c>
      <c r="H15" s="27" t="n">
        <f aca="false">H13+H14</f>
        <v>20047.5</v>
      </c>
      <c r="I15" s="27" t="n">
        <f aca="false">I13+I14</f>
        <v>25059.375</v>
      </c>
      <c r="J15" s="27" t="n">
        <f aca="false">J13+J14</f>
        <v>30071.25</v>
      </c>
      <c r="K15" s="27" t="n">
        <f aca="false">K13+K14</f>
        <v>35083.125</v>
      </c>
      <c r="L15" s="27" t="n">
        <f aca="false">L13+L14</f>
        <v>40095</v>
      </c>
      <c r="M15" s="27" t="n">
        <f aca="false">M13+M14</f>
        <v>45106.875</v>
      </c>
      <c r="N15" s="27" t="n">
        <f aca="false">SUM(B15:M15)</f>
        <v>218859.3</v>
      </c>
    </row>
    <row r="17" customFormat="false" ht="15" hidden="false" customHeight="true" outlineLevel="0" collapsed="false">
      <c r="A17" s="4" t="s">
        <v>76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true" outlineLevel="0" collapsed="false">
      <c r="A18" s="5" t="s">
        <v>77</v>
      </c>
      <c r="B18" s="26" t="n">
        <f aca="false">-B10*Assumptions!B9</f>
        <v>-0</v>
      </c>
      <c r="C18" s="26" t="n">
        <f aca="false">-C10*Assumptions!B9</f>
        <v>-0</v>
      </c>
      <c r="D18" s="26" t="n">
        <f aca="false">-D10*Assumptions!B9</f>
        <v>-553.5</v>
      </c>
      <c r="E18" s="26" t="n">
        <f aca="false">-E10*Assumptions!B9</f>
        <v>-831.48</v>
      </c>
      <c r="F18" s="26" t="n">
        <f aca="false">-F10*Assumptions!B9</f>
        <v>-2214</v>
      </c>
      <c r="G18" s="26" t="n">
        <f aca="false">-G10*Assumptions!B9</f>
        <v>-4152.48</v>
      </c>
      <c r="H18" s="26" t="n">
        <f aca="false">-H10*Assumptions!B9</f>
        <v>-6642</v>
      </c>
      <c r="I18" s="26" t="n">
        <f aca="false">-I10*Assumptions!B9</f>
        <v>-8302.5</v>
      </c>
      <c r="J18" s="26" t="n">
        <f aca="false">-J10*Assumptions!B9</f>
        <v>-9963</v>
      </c>
      <c r="K18" s="26" t="n">
        <f aca="false">-K10*Assumptions!B9</f>
        <v>-11623.5</v>
      </c>
      <c r="L18" s="26" t="n">
        <f aca="false">-L10*Assumptions!B9</f>
        <v>-13284</v>
      </c>
      <c r="M18" s="26" t="n">
        <f aca="false">-M10*Assumptions!B9</f>
        <v>-14944.5</v>
      </c>
      <c r="N18" s="27" t="n">
        <f aca="false">SUM(B18:M18)</f>
        <v>-72510.96</v>
      </c>
    </row>
    <row r="19" customFormat="false" ht="15" hidden="false" customHeight="true" outlineLevel="0" collapsed="false">
      <c r="A19" s="5" t="s">
        <v>78</v>
      </c>
      <c r="B19" s="26" t="n">
        <f aca="false">-B10*Assumptions!B10</f>
        <v>-0</v>
      </c>
      <c r="C19" s="26" t="n">
        <f aca="false">-C10*Assumptions!B10</f>
        <v>-0</v>
      </c>
      <c r="D19" s="26" t="n">
        <f aca="false">-D10*Assumptions!B10</f>
        <v>-225</v>
      </c>
      <c r="E19" s="26" t="n">
        <f aca="false">-E10*Assumptions!B10</f>
        <v>-338</v>
      </c>
      <c r="F19" s="26" t="n">
        <f aca="false">-F10*Assumptions!B10</f>
        <v>-900</v>
      </c>
      <c r="G19" s="26" t="n">
        <f aca="false">-G10*Assumptions!B10</f>
        <v>-1688</v>
      </c>
      <c r="H19" s="26" t="n">
        <f aca="false">-H10*Assumptions!B10</f>
        <v>-2700</v>
      </c>
      <c r="I19" s="26" t="n">
        <f aca="false">-I10*Assumptions!B10</f>
        <v>-3375</v>
      </c>
      <c r="J19" s="26" t="n">
        <f aca="false">-J10*Assumptions!B10</f>
        <v>-4050</v>
      </c>
      <c r="K19" s="26" t="n">
        <f aca="false">-K10*Assumptions!B10</f>
        <v>-4725</v>
      </c>
      <c r="L19" s="26" t="n">
        <f aca="false">-L10*Assumptions!B10</f>
        <v>-5400</v>
      </c>
      <c r="M19" s="26" t="n">
        <f aca="false">-M10*Assumptions!B10</f>
        <v>-6075</v>
      </c>
      <c r="N19" s="27" t="n">
        <f aca="false">SUM(B19:M19)</f>
        <v>-29476</v>
      </c>
    </row>
    <row r="20" customFormat="false" ht="15" hidden="false" customHeight="true" outlineLevel="0" collapsed="false">
      <c r="A20" s="5" t="s">
        <v>79</v>
      </c>
      <c r="B20" s="26" t="n">
        <f aca="false">-B10*Assumptions!B11</f>
        <v>-0</v>
      </c>
      <c r="C20" s="26" t="n">
        <f aca="false">-C10*Assumptions!B11</f>
        <v>-0</v>
      </c>
      <c r="D20" s="26" t="n">
        <f aca="false">-D10*Assumptions!B11</f>
        <v>-90</v>
      </c>
      <c r="E20" s="26" t="n">
        <f aca="false">-E10*Assumptions!B11</f>
        <v>-135.2</v>
      </c>
      <c r="F20" s="26" t="n">
        <f aca="false">-F10*Assumptions!B11</f>
        <v>-360</v>
      </c>
      <c r="G20" s="26" t="n">
        <f aca="false">-G10*Assumptions!B11</f>
        <v>-675.2</v>
      </c>
      <c r="H20" s="26" t="n">
        <f aca="false">-H10*Assumptions!B11</f>
        <v>-1080</v>
      </c>
      <c r="I20" s="26" t="n">
        <f aca="false">-I10*Assumptions!B11</f>
        <v>-1350</v>
      </c>
      <c r="J20" s="26" t="n">
        <f aca="false">-J10*Assumptions!B11</f>
        <v>-1620</v>
      </c>
      <c r="K20" s="26" t="n">
        <f aca="false">-K10*Assumptions!B11</f>
        <v>-1890</v>
      </c>
      <c r="L20" s="26" t="n">
        <f aca="false">-L10*Assumptions!B11</f>
        <v>-2160</v>
      </c>
      <c r="M20" s="26" t="n">
        <f aca="false">-M10*Assumptions!B11</f>
        <v>-2430</v>
      </c>
      <c r="N20" s="27" t="n">
        <f aca="false">SUM(B20:M20)</f>
        <v>-11790.4</v>
      </c>
    </row>
    <row r="21" customFormat="false" ht="15" hidden="false" customHeight="true" outlineLevel="0" collapsed="false">
      <c r="A21" s="5" t="s">
        <v>80</v>
      </c>
      <c r="B21" s="26" t="n">
        <f aca="false">-B10*Assumptions!B12</f>
        <v>-0</v>
      </c>
      <c r="C21" s="26" t="n">
        <f aca="false">-C10*Assumptions!B12</f>
        <v>-0</v>
      </c>
      <c r="D21" s="26" t="n">
        <f aca="false">-D10*Assumptions!B12</f>
        <v>-67.5</v>
      </c>
      <c r="E21" s="26" t="n">
        <f aca="false">-E10*Assumptions!B12</f>
        <v>-101.4</v>
      </c>
      <c r="F21" s="26" t="n">
        <f aca="false">-F10*Assumptions!B12</f>
        <v>-270</v>
      </c>
      <c r="G21" s="26" t="n">
        <f aca="false">-G10*Assumptions!B12</f>
        <v>-506.4</v>
      </c>
      <c r="H21" s="26" t="n">
        <f aca="false">-H10*Assumptions!B12</f>
        <v>-810</v>
      </c>
      <c r="I21" s="26" t="n">
        <f aca="false">-I10*Assumptions!B12</f>
        <v>-1012.5</v>
      </c>
      <c r="J21" s="26" t="n">
        <f aca="false">-J10*Assumptions!B12</f>
        <v>-1215</v>
      </c>
      <c r="K21" s="26" t="n">
        <f aca="false">-K10*Assumptions!B12</f>
        <v>-1417.5</v>
      </c>
      <c r="L21" s="26" t="n">
        <f aca="false">-L10*Assumptions!B12</f>
        <v>-1620</v>
      </c>
      <c r="M21" s="26" t="n">
        <f aca="false">-M10*Assumptions!B12</f>
        <v>-1822.5</v>
      </c>
      <c r="N21" s="27" t="n">
        <f aca="false">SUM(B21:M21)</f>
        <v>-8842.8</v>
      </c>
    </row>
    <row r="22" customFormat="false" ht="15" hidden="false" customHeight="true" outlineLevel="0" collapsed="false">
      <c r="A22" s="5" t="s">
        <v>81</v>
      </c>
      <c r="B22" s="26" t="n">
        <f aca="false">-B10*Assumptions!B13</f>
        <v>-0</v>
      </c>
      <c r="C22" s="26" t="n">
        <f aca="false">-C10*Assumptions!B13</f>
        <v>-0</v>
      </c>
      <c r="D22" s="26" t="n">
        <f aca="false">-D10*Assumptions!B13</f>
        <v>-112.5</v>
      </c>
      <c r="E22" s="26" t="n">
        <f aca="false">-E10*Assumptions!B13</f>
        <v>-169</v>
      </c>
      <c r="F22" s="26" t="n">
        <f aca="false">-F10*Assumptions!B13</f>
        <v>-450</v>
      </c>
      <c r="G22" s="26" t="n">
        <f aca="false">-G10*Assumptions!B13</f>
        <v>-844</v>
      </c>
      <c r="H22" s="26" t="n">
        <f aca="false">-H10*Assumptions!B13</f>
        <v>-1350</v>
      </c>
      <c r="I22" s="26" t="n">
        <f aca="false">-I10*Assumptions!B13</f>
        <v>-1687.5</v>
      </c>
      <c r="J22" s="26" t="n">
        <f aca="false">-J10*Assumptions!B13</f>
        <v>-2025</v>
      </c>
      <c r="K22" s="26" t="n">
        <f aca="false">-K10*Assumptions!B13</f>
        <v>-2362.5</v>
      </c>
      <c r="L22" s="26" t="n">
        <f aca="false">-L10*Assumptions!B13</f>
        <v>-2700</v>
      </c>
      <c r="M22" s="26" t="n">
        <f aca="false">-M10*Assumptions!B13</f>
        <v>-3037.5</v>
      </c>
      <c r="N22" s="27" t="n">
        <f aca="false">SUM(B22:M22)</f>
        <v>-14738</v>
      </c>
    </row>
    <row r="23" customFormat="false" ht="15" hidden="false" customHeight="true" outlineLevel="0" collapsed="false">
      <c r="A23" s="25" t="s">
        <v>82</v>
      </c>
      <c r="B23" s="27" t="n">
        <f aca="false">SUM(B18:B22)</f>
        <v>0</v>
      </c>
      <c r="C23" s="27" t="n">
        <f aca="false">SUM(C18:C22)</f>
        <v>0</v>
      </c>
      <c r="D23" s="27" t="n">
        <f aca="false">SUM(D18:D22)</f>
        <v>-1048.5</v>
      </c>
      <c r="E23" s="27" t="n">
        <f aca="false">SUM(E18:E22)</f>
        <v>-1575.08</v>
      </c>
      <c r="F23" s="27" t="n">
        <f aca="false">SUM(F18:F22)</f>
        <v>-4194</v>
      </c>
      <c r="G23" s="27" t="n">
        <f aca="false">SUM(G18:G22)</f>
        <v>-7866.08</v>
      </c>
      <c r="H23" s="27" t="n">
        <f aca="false">SUM(H18:H22)</f>
        <v>-12582</v>
      </c>
      <c r="I23" s="27" t="n">
        <f aca="false">SUM(I18:I22)</f>
        <v>-15727.5</v>
      </c>
      <c r="J23" s="27" t="n">
        <f aca="false">SUM(J18:J22)</f>
        <v>-18873</v>
      </c>
      <c r="K23" s="27" t="n">
        <f aca="false">SUM(K18:K22)</f>
        <v>-22018.5</v>
      </c>
      <c r="L23" s="27" t="n">
        <f aca="false">SUM(L18:L22)</f>
        <v>-25164</v>
      </c>
      <c r="M23" s="27" t="n">
        <f aca="false">SUM(M18:M22)</f>
        <v>-28309.5</v>
      </c>
      <c r="N23" s="27" t="n">
        <f aca="false">SUM(B23:M23)</f>
        <v>-137358.16</v>
      </c>
    </row>
    <row r="24" customFormat="false" ht="15" hidden="false" customHeight="true" outlineLevel="0" collapsed="false">
      <c r="A24" s="28" t="s">
        <v>83</v>
      </c>
      <c r="B24" s="29" t="n">
        <f aca="false">B15+B23</f>
        <v>0</v>
      </c>
      <c r="C24" s="29" t="n">
        <f aca="false">C15+C23</f>
        <v>0</v>
      </c>
      <c r="D24" s="29" t="n">
        <f aca="false">D15+D23</f>
        <v>622.125</v>
      </c>
      <c r="E24" s="29" t="n">
        <f aca="false">E15+E23</f>
        <v>934.57</v>
      </c>
      <c r="F24" s="29" t="n">
        <f aca="false">F15+F23</f>
        <v>2488.5</v>
      </c>
      <c r="G24" s="29" t="n">
        <f aca="false">G15+G23</f>
        <v>4667.32</v>
      </c>
      <c r="H24" s="29" t="n">
        <f aca="false">H15+H23</f>
        <v>7465.5</v>
      </c>
      <c r="I24" s="29" t="n">
        <f aca="false">I15+I23</f>
        <v>9331.875</v>
      </c>
      <c r="J24" s="29" t="n">
        <f aca="false">J15+J23</f>
        <v>11198.25</v>
      </c>
      <c r="K24" s="29" t="n">
        <f aca="false">K15+K23</f>
        <v>13064.625</v>
      </c>
      <c r="L24" s="29" t="n">
        <f aca="false">L15+L23</f>
        <v>14931</v>
      </c>
      <c r="M24" s="29" t="n">
        <f aca="false">M15+M23</f>
        <v>16797.375</v>
      </c>
      <c r="N24" s="29" t="n">
        <f aca="false">SUM(B24:M24)</f>
        <v>81501.14</v>
      </c>
    </row>
    <row r="26" customFormat="false" ht="15" hidden="false" customHeight="true" outlineLevel="0" collapsed="false">
      <c r="A26" s="4" t="s">
        <v>84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true" outlineLevel="0" collapsed="false">
      <c r="A27" s="5" t="s">
        <v>85</v>
      </c>
      <c r="B27" s="30" t="n">
        <f aca="false">-Assumptions!C44</f>
        <v>-200</v>
      </c>
      <c r="C27" s="30" t="n">
        <f aca="false">-Assumptions!C44</f>
        <v>-200</v>
      </c>
      <c r="D27" s="30" t="n">
        <f aca="false">-Assumptions!C44</f>
        <v>-200</v>
      </c>
      <c r="E27" s="30" t="n">
        <f aca="false">-Assumptions!C45</f>
        <v>-9500</v>
      </c>
      <c r="F27" s="30" t="n">
        <f aca="false">-Assumptions!C45</f>
        <v>-9500</v>
      </c>
      <c r="G27" s="30" t="n">
        <f aca="false">-Assumptions!C45</f>
        <v>-9500</v>
      </c>
      <c r="H27" s="30" t="n">
        <f aca="false">-Assumptions!C46</f>
        <v>-18500</v>
      </c>
      <c r="I27" s="30" t="n">
        <f aca="false">-Assumptions!C46</f>
        <v>-18500</v>
      </c>
      <c r="J27" s="30" t="n">
        <f aca="false">-Assumptions!C46</f>
        <v>-18500</v>
      </c>
      <c r="K27" s="30" t="n">
        <f aca="false">-Assumptions!C46</f>
        <v>-18500</v>
      </c>
      <c r="L27" s="30" t="n">
        <f aca="false">-Assumptions!C46</f>
        <v>-18500</v>
      </c>
      <c r="M27" s="30" t="n">
        <f aca="false">-Assumptions!C46</f>
        <v>-18500</v>
      </c>
      <c r="N27" s="27" t="n">
        <f aca="false">SUM(B27:M27)</f>
        <v>-140100</v>
      </c>
    </row>
    <row r="29" customFormat="false" ht="15" hidden="false" customHeight="true" outlineLevel="0" collapsed="false">
      <c r="A29" s="31" t="s">
        <v>86</v>
      </c>
      <c r="B29" s="32" t="n">
        <f aca="false">B24+B27</f>
        <v>-200</v>
      </c>
      <c r="C29" s="32" t="n">
        <f aca="false">C24+C27</f>
        <v>-200</v>
      </c>
      <c r="D29" s="32" t="n">
        <f aca="false">D24+D27</f>
        <v>422.125</v>
      </c>
      <c r="E29" s="32" t="n">
        <f aca="false">E24+E27</f>
        <v>-8565.43</v>
      </c>
      <c r="F29" s="32" t="n">
        <f aca="false">F24+F27</f>
        <v>-7011.5</v>
      </c>
      <c r="G29" s="32" t="n">
        <f aca="false">G24+G27</f>
        <v>-4832.68</v>
      </c>
      <c r="H29" s="32" t="n">
        <f aca="false">H24+H27</f>
        <v>-11034.5</v>
      </c>
      <c r="I29" s="32" t="n">
        <f aca="false">I24+I27</f>
        <v>-9168.125</v>
      </c>
      <c r="J29" s="32" t="n">
        <f aca="false">J24+J27</f>
        <v>-7301.75</v>
      </c>
      <c r="K29" s="32" t="n">
        <f aca="false">K24+K27</f>
        <v>-5435.375</v>
      </c>
      <c r="L29" s="32" t="n">
        <f aca="false">L24+L27</f>
        <v>-3569</v>
      </c>
      <c r="M29" s="32" t="n">
        <f aca="false">M24+M27</f>
        <v>-1702.625</v>
      </c>
      <c r="N29" s="32" t="n">
        <f aca="false">SUM(B29:M29)</f>
        <v>-58598.86</v>
      </c>
    </row>
    <row r="30" customFormat="false" ht="15" hidden="false" customHeight="true" outlineLevel="0" collapsed="false">
      <c r="A30" s="5" t="s">
        <v>87</v>
      </c>
      <c r="B30" s="16" t="n">
        <f aca="false">IFERROR(B29/B15,0)</f>
        <v>0</v>
      </c>
      <c r="C30" s="16" t="n">
        <f aca="false">IFERROR(C29/C15,0)</f>
        <v>0</v>
      </c>
      <c r="D30" s="16" t="n">
        <f aca="false">IFERROR(D29/D15,0)</f>
        <v>0.252674897119342</v>
      </c>
      <c r="E30" s="16" t="n">
        <f aca="false">IFERROR(E29/E15,0)</f>
        <v>-3.41299782838244</v>
      </c>
      <c r="F30" s="16" t="n">
        <f aca="false">IFERROR(F29/F15,0)</f>
        <v>-1.04923307145529</v>
      </c>
      <c r="G30" s="16" t="n">
        <f aca="false">IFERROR(G29/G15,0)</f>
        <v>-0.385584119233408</v>
      </c>
      <c r="H30" s="16" t="n">
        <f aca="false">IFERROR(H29/H15,0)</f>
        <v>-0.550417757825165</v>
      </c>
      <c r="I30" s="16" t="n">
        <f aca="false">IFERROR(I29/I15,0)</f>
        <v>-0.365856091782018</v>
      </c>
      <c r="J30" s="16" t="n">
        <f aca="false">IFERROR(J29/J15,0)</f>
        <v>-0.242814981086586</v>
      </c>
      <c r="K30" s="16" t="n">
        <f aca="false">IFERROR(K29/K15,0)</f>
        <v>-0.154928473446992</v>
      </c>
      <c r="L30" s="16" t="n">
        <f aca="false">IFERROR(L29/L15,0)</f>
        <v>-0.0890135927172964</v>
      </c>
      <c r="M30" s="16" t="n">
        <f aca="false">IFERROR(M29/M15,0)</f>
        <v>-0.0377464632608666</v>
      </c>
      <c r="N30" s="24" t="n">
        <f aca="false">IFERROR(N29/N15,0)</f>
        <v>-0.267746721295371</v>
      </c>
    </row>
    <row r="32" customFormat="false" ht="15" hidden="false" customHeight="true" outlineLevel="0" collapsed="false">
      <c r="A32" s="4" t="s">
        <v>88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true" outlineLevel="0" collapsed="false">
      <c r="A33" s="5" t="s">
        <v>89</v>
      </c>
      <c r="B33" s="30" t="n">
        <f aca="false">Assumptions!B50</f>
        <v>3000</v>
      </c>
      <c r="C33" s="30" t="n">
        <v>0</v>
      </c>
      <c r="D33" s="30" t="n">
        <f aca="false">Assumptions!B51</f>
        <v>100000</v>
      </c>
      <c r="E33" s="30" t="n">
        <v>0</v>
      </c>
      <c r="F33" s="30" t="n">
        <v>0</v>
      </c>
      <c r="G33" s="30" t="n">
        <v>0</v>
      </c>
      <c r="H33" s="30" t="n">
        <v>0</v>
      </c>
      <c r="I33" s="30" t="n">
        <v>0</v>
      </c>
      <c r="J33" s="30" t="n">
        <v>0</v>
      </c>
      <c r="K33" s="30" t="n">
        <v>0</v>
      </c>
      <c r="L33" s="30" t="n">
        <v>0</v>
      </c>
      <c r="M33" s="30" t="n">
        <v>0</v>
      </c>
      <c r="N33" s="27" t="n">
        <f aca="false">SUM(B33:M33)</f>
        <v>103000</v>
      </c>
    </row>
    <row r="34" customFormat="false" ht="15" hidden="false" customHeight="true" outlineLevel="0" collapsed="false">
      <c r="A34" s="25" t="s">
        <v>90</v>
      </c>
      <c r="B34" s="27" t="n">
        <f aca="false">B29+B33</f>
        <v>2800</v>
      </c>
      <c r="C34" s="27" t="n">
        <f aca="false">C29+C33</f>
        <v>-200</v>
      </c>
      <c r="D34" s="27" t="n">
        <f aca="false">D29+D33</f>
        <v>100422.125</v>
      </c>
      <c r="E34" s="27" t="n">
        <f aca="false">E29+E33</f>
        <v>-8565.43</v>
      </c>
      <c r="F34" s="27" t="n">
        <f aca="false">F29+F33</f>
        <v>-7011.5</v>
      </c>
      <c r="G34" s="27" t="n">
        <f aca="false">G29+G33</f>
        <v>-4832.68</v>
      </c>
      <c r="H34" s="27" t="n">
        <f aca="false">H29+H33</f>
        <v>-11034.5</v>
      </c>
      <c r="I34" s="27" t="n">
        <f aca="false">I29+I33</f>
        <v>-9168.125</v>
      </c>
      <c r="J34" s="27" t="n">
        <f aca="false">J29+J33</f>
        <v>-7301.75</v>
      </c>
      <c r="K34" s="27" t="n">
        <f aca="false">K29+K33</f>
        <v>-5435.375</v>
      </c>
      <c r="L34" s="27" t="n">
        <f aca="false">L29+L33</f>
        <v>-3569</v>
      </c>
      <c r="M34" s="27" t="n">
        <f aca="false">M29+M33</f>
        <v>-1702.625</v>
      </c>
    </row>
    <row r="35" customFormat="false" ht="15" hidden="false" customHeight="true" outlineLevel="0" collapsed="false">
      <c r="A35" s="25" t="s">
        <v>91</v>
      </c>
      <c r="B35" s="33" t="n">
        <f aca="false">B34</f>
        <v>2800</v>
      </c>
      <c r="C35" s="33" t="n">
        <f aca="false">B35+C34</f>
        <v>2600</v>
      </c>
      <c r="D35" s="33" t="n">
        <f aca="false">C35+D34</f>
        <v>103022.125</v>
      </c>
      <c r="E35" s="33" t="n">
        <f aca="false">D35+E34</f>
        <v>94456.695</v>
      </c>
      <c r="F35" s="33" t="n">
        <f aca="false">E35+F34</f>
        <v>87445.195</v>
      </c>
      <c r="G35" s="33" t="n">
        <f aca="false">F35+G34</f>
        <v>82612.515</v>
      </c>
      <c r="H35" s="33" t="n">
        <f aca="false">G35+H34</f>
        <v>71578.015</v>
      </c>
      <c r="I35" s="33" t="n">
        <f aca="false">H35+I34</f>
        <v>62409.89</v>
      </c>
      <c r="J35" s="33" t="n">
        <f aca="false">I35+J34</f>
        <v>55108.14</v>
      </c>
      <c r="K35" s="33" t="n">
        <f aca="false">J35+K34</f>
        <v>49672.765</v>
      </c>
      <c r="L35" s="33" t="n">
        <f aca="false">K35+L34</f>
        <v>46103.765</v>
      </c>
      <c r="M35" s="33" t="n">
        <f aca="false">L35+M34</f>
        <v>44401.14</v>
      </c>
    </row>
  </sheetData>
  <mergeCells count="7">
    <mergeCell ref="A1:N1"/>
    <mergeCell ref="A2:N2"/>
    <mergeCell ref="A5:N5"/>
    <mergeCell ref="A12:N12"/>
    <mergeCell ref="A17:N17"/>
    <mergeCell ref="A26:N26"/>
    <mergeCell ref="A32:N32"/>
  </mergeCells>
  <printOptions headings="false" gridLines="false" gridLinesSet="true" horizontalCentered="false" verticalCentered="false"/>
  <pageMargins left="0.75" right="0.75" top="0.511805555555556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35.95"/>
    <col collapsed="false" customWidth="true" hidden="false" outlineLevel="0" max="4" min="2" style="1" width="17.03"/>
    <col collapsed="false" customWidth="true" hidden="false" outlineLevel="0" max="5" min="5" style="1" width="47.3"/>
    <col collapsed="false" customWidth="false" hidden="false" outlineLevel="0" max="16384" min="6" style="1" width="8.24"/>
  </cols>
  <sheetData>
    <row r="1" customFormat="false" ht="27.75" hidden="false" customHeight="true" outlineLevel="0" collapsed="false">
      <c r="A1" s="17" t="s">
        <v>92</v>
      </c>
      <c r="B1" s="17"/>
      <c r="C1" s="17"/>
      <c r="D1" s="17"/>
      <c r="E1" s="17"/>
    </row>
    <row r="2" customFormat="false" ht="15" hidden="false" customHeight="true" outlineLevel="0" collapsed="false">
      <c r="A2" s="3" t="s">
        <v>93</v>
      </c>
      <c r="B2" s="3"/>
      <c r="C2" s="3"/>
      <c r="D2" s="3"/>
      <c r="E2" s="3"/>
    </row>
    <row r="4" customFormat="false" ht="15" hidden="false" customHeight="true" outlineLevel="0" collapsed="false">
      <c r="A4" s="19" t="s">
        <v>64</v>
      </c>
      <c r="B4" s="19" t="s">
        <v>94</v>
      </c>
      <c r="C4" s="19" t="s">
        <v>95</v>
      </c>
      <c r="D4" s="19" t="s">
        <v>96</v>
      </c>
      <c r="E4" s="19" t="s">
        <v>97</v>
      </c>
    </row>
    <row r="6" customFormat="false" ht="15" hidden="false" customHeight="true" outlineLevel="0" collapsed="false">
      <c r="A6" s="5" t="s">
        <v>98</v>
      </c>
      <c r="B6" s="21" t="n">
        <f aca="false">Projection_12M!N6</f>
        <v>9</v>
      </c>
      <c r="C6" s="11" t="n">
        <v>20</v>
      </c>
      <c r="D6" s="11" t="n">
        <v>35</v>
      </c>
      <c r="E6" s="13" t="s">
        <v>99</v>
      </c>
    </row>
    <row r="7" customFormat="false" ht="15" hidden="false" customHeight="true" outlineLevel="0" collapsed="false">
      <c r="A7" s="5" t="s">
        <v>100</v>
      </c>
      <c r="B7" s="23" t="n">
        <f aca="false">AVERAGE(Projection_12M!B9:M9)</f>
        <v>1637.5</v>
      </c>
      <c r="C7" s="23" t="n">
        <f aca="false">AVERAGE(B6,C6)*Assumptions!B21*Assumptions!B22</f>
        <v>6525</v>
      </c>
      <c r="D7" s="23" t="n">
        <f aca="false">AVERAGE(C6,D6)*Assumptions!B21*Assumptions!B22</f>
        <v>12375</v>
      </c>
      <c r="E7" s="13" t="s">
        <v>101</v>
      </c>
    </row>
    <row r="8" customFormat="false" ht="15" hidden="false" customHeight="true" outlineLevel="0" collapsed="false">
      <c r="A8" s="5" t="s">
        <v>102</v>
      </c>
      <c r="B8" s="21" t="n">
        <f aca="false">Projection_12M!N10</f>
        <v>29476</v>
      </c>
      <c r="C8" s="23" t="n">
        <f aca="false">C7*Assumptions!B19*12</f>
        <v>117450</v>
      </c>
      <c r="D8" s="23" t="n">
        <f aca="false">D7*Assumptions!B19*12</f>
        <v>222750</v>
      </c>
    </row>
    <row r="10" customFormat="false" ht="15" hidden="false" customHeight="true" outlineLevel="0" collapsed="false">
      <c r="A10" s="5" t="s">
        <v>103</v>
      </c>
      <c r="B10" s="30" t="n">
        <f aca="false">Projection_12M!N13</f>
        <v>291812.4</v>
      </c>
      <c r="C10" s="26" t="n">
        <f aca="false">C8*Assumptions!B5</f>
        <v>1162755</v>
      </c>
      <c r="D10" s="26" t="n">
        <f aca="false">D8*Assumptions!B5</f>
        <v>2205225</v>
      </c>
    </row>
    <row r="11" customFormat="false" ht="15" hidden="false" customHeight="true" outlineLevel="0" collapsed="false">
      <c r="A11" s="5" t="s">
        <v>104</v>
      </c>
      <c r="B11" s="30" t="n">
        <f aca="false">Projection_12M!N14</f>
        <v>-72953.1</v>
      </c>
      <c r="C11" s="26" t="n">
        <f aca="false">-C8*Assumptions!B7</f>
        <v>-290688.75</v>
      </c>
      <c r="D11" s="26" t="n">
        <f aca="false">-D8*Assumptions!B7</f>
        <v>-551306.25</v>
      </c>
    </row>
    <row r="12" customFormat="false" ht="15" hidden="false" customHeight="true" outlineLevel="0" collapsed="false">
      <c r="A12" s="25" t="s">
        <v>75</v>
      </c>
      <c r="B12" s="27" t="n">
        <f aca="false">B10+B11</f>
        <v>218859.3</v>
      </c>
      <c r="C12" s="27" t="n">
        <f aca="false">C10+C11</f>
        <v>872066.25</v>
      </c>
      <c r="D12" s="27" t="n">
        <f aca="false">D10+D11</f>
        <v>1653918.75</v>
      </c>
    </row>
    <row r="13" customFormat="false" ht="15" hidden="false" customHeight="true" outlineLevel="0" collapsed="false">
      <c r="A13" s="5" t="s">
        <v>105</v>
      </c>
      <c r="B13" s="30" t="n">
        <f aca="false">Projection_12M!N23</f>
        <v>-137358.16</v>
      </c>
      <c r="C13" s="26" t="n">
        <f aca="false">-C8*Assumptions!B14</f>
        <v>-547317</v>
      </c>
      <c r="D13" s="26" t="n">
        <f aca="false">-D8*Assumptions!B14</f>
        <v>-1038015</v>
      </c>
    </row>
    <row r="14" customFormat="false" ht="15" hidden="false" customHeight="true" outlineLevel="0" collapsed="false">
      <c r="A14" s="25" t="s">
        <v>106</v>
      </c>
      <c r="B14" s="33" t="n">
        <f aca="false">B12+B13</f>
        <v>81501.14</v>
      </c>
      <c r="C14" s="33" t="n">
        <f aca="false">C12+C13</f>
        <v>324749.25</v>
      </c>
      <c r="D14" s="33" t="n">
        <f aca="false">D12+D13</f>
        <v>615903.75</v>
      </c>
    </row>
    <row r="16" customFormat="false" ht="15" hidden="false" customHeight="true" outlineLevel="0" collapsed="false">
      <c r="A16" s="5" t="s">
        <v>107</v>
      </c>
      <c r="B16" s="30" t="n">
        <f aca="false">Projection_12M!N27</f>
        <v>-140100</v>
      </c>
      <c r="C16" s="15" t="n">
        <v>-360000</v>
      </c>
      <c r="D16" s="15" t="n">
        <v>-540000</v>
      </c>
      <c r="E16" s="13" t="s">
        <v>108</v>
      </c>
    </row>
    <row r="17" customFormat="false" ht="15" hidden="false" customHeight="true" outlineLevel="0" collapsed="false">
      <c r="A17" s="31" t="s">
        <v>86</v>
      </c>
      <c r="B17" s="32" t="n">
        <f aca="false">B14+B16</f>
        <v>-58598.86</v>
      </c>
      <c r="C17" s="32" t="n">
        <f aca="false">C14+C16</f>
        <v>-35250.75</v>
      </c>
      <c r="D17" s="32" t="n">
        <f aca="false">D14+D16</f>
        <v>75903.75</v>
      </c>
    </row>
    <row r="18" customFormat="false" ht="15" hidden="false" customHeight="true" outlineLevel="0" collapsed="false">
      <c r="A18" s="5" t="s">
        <v>109</v>
      </c>
      <c r="B18" s="16" t="n">
        <f aca="false">IFERROR(B17/B12,0)</f>
        <v>-0.267746721295371</v>
      </c>
      <c r="C18" s="16" t="n">
        <f aca="false">IFERROR(C17/C12,0)</f>
        <v>-0.0404221009584994</v>
      </c>
      <c r="D18" s="16" t="n">
        <f aca="false">IFERROR(D17/D12,0)</f>
        <v>0.0458932761963065</v>
      </c>
    </row>
    <row r="20" customFormat="false" ht="15" hidden="false" customHeight="true" outlineLevel="0" collapsed="false">
      <c r="A20" s="5" t="s">
        <v>89</v>
      </c>
      <c r="B20" s="30" t="n">
        <f aca="false">Projection_12M!N33</f>
        <v>103000</v>
      </c>
      <c r="C20" s="15" t="n">
        <v>0</v>
      </c>
      <c r="D20" s="15" t="n">
        <v>0</v>
      </c>
    </row>
    <row r="21" customFormat="false" ht="15" hidden="false" customHeight="true" outlineLevel="0" collapsed="false">
      <c r="A21" s="25" t="s">
        <v>110</v>
      </c>
      <c r="B21" s="27" t="n">
        <f aca="false">B17+B20</f>
        <v>44401.14</v>
      </c>
      <c r="C21" s="27" t="n">
        <f aca="false">C17+C20</f>
        <v>-35250.75</v>
      </c>
      <c r="D21" s="27" t="n">
        <f aca="false">D17+D20</f>
        <v>75903.75</v>
      </c>
    </row>
    <row r="22" customFormat="false" ht="15" hidden="false" customHeight="true" outlineLevel="0" collapsed="false">
      <c r="A22" s="25" t="s">
        <v>91</v>
      </c>
      <c r="B22" s="33" t="n">
        <f aca="false">B21</f>
        <v>44401.14</v>
      </c>
      <c r="C22" s="33" t="n">
        <f aca="false">B22+C21</f>
        <v>9150.39000000001</v>
      </c>
      <c r="D22" s="33" t="n">
        <f aca="false">C22+D21</f>
        <v>85054.14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0.511805555555556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39.73"/>
    <col collapsed="false" customWidth="true" hidden="false" outlineLevel="0" max="2" min="2" style="1" width="17.03"/>
    <col collapsed="false" customWidth="true" hidden="false" outlineLevel="0" max="3" min="3" style="1" width="23.65"/>
    <col collapsed="false" customWidth="true" hidden="false" outlineLevel="0" max="4" min="4" style="1" width="28.38"/>
    <col collapsed="false" customWidth="false" hidden="false" outlineLevel="0" max="5" min="5" style="1" width="8.24"/>
    <col collapsed="false" customWidth="true" hidden="false" outlineLevel="0" max="6" min="6" style="1" width="11.08"/>
    <col collapsed="false" customWidth="false" hidden="false" outlineLevel="0" max="16384" min="7" style="1" width="8.24"/>
  </cols>
  <sheetData>
    <row r="1" customFormat="false" ht="27.75" hidden="false" customHeight="true" outlineLevel="0" collapsed="false">
      <c r="A1" s="17" t="s">
        <v>111</v>
      </c>
      <c r="B1" s="17"/>
      <c r="C1" s="17"/>
      <c r="D1" s="17"/>
    </row>
    <row r="2" customFormat="false" ht="15" hidden="false" customHeight="true" outlineLevel="0" collapsed="false">
      <c r="A2" s="3" t="s">
        <v>112</v>
      </c>
      <c r="B2" s="3"/>
      <c r="C2" s="3"/>
      <c r="D2" s="3"/>
    </row>
    <row r="4" customFormat="false" ht="15" hidden="false" customHeight="true" outlineLevel="0" collapsed="false">
      <c r="A4" s="4" t="s">
        <v>113</v>
      </c>
      <c r="B4" s="4"/>
      <c r="C4" s="4"/>
      <c r="D4" s="4"/>
    </row>
    <row r="5" customFormat="false" ht="15" hidden="false" customHeight="true" outlineLevel="0" collapsed="false">
      <c r="A5" s="5" t="s">
        <v>114</v>
      </c>
      <c r="B5" s="30" t="n">
        <f aca="false">Assumptions!B50</f>
        <v>3000</v>
      </c>
    </row>
    <row r="6" customFormat="false" ht="15" hidden="false" customHeight="true" outlineLevel="0" collapsed="false">
      <c r="A6" s="5" t="s">
        <v>115</v>
      </c>
      <c r="B6" s="30" t="n">
        <f aca="false">Assumptions!B51</f>
        <v>100000</v>
      </c>
    </row>
    <row r="7" customFormat="false" ht="15" hidden="false" customHeight="true" outlineLevel="0" collapsed="false">
      <c r="A7" s="28" t="s">
        <v>116</v>
      </c>
      <c r="B7" s="34" t="n">
        <f aca="false">B5+B6</f>
        <v>103000</v>
      </c>
    </row>
    <row r="9" customFormat="false" ht="15" hidden="false" customHeight="true" outlineLevel="0" collapsed="false">
      <c r="A9" s="4" t="s">
        <v>117</v>
      </c>
      <c r="B9" s="4"/>
      <c r="C9" s="4"/>
      <c r="D9" s="4"/>
    </row>
    <row r="10" customFormat="false" ht="15" hidden="false" customHeight="true" outlineLevel="0" collapsed="false">
      <c r="A10" s="12" t="s">
        <v>118</v>
      </c>
      <c r="B10" s="12" t="s">
        <v>119</v>
      </c>
      <c r="C10" s="12" t="s">
        <v>23</v>
      </c>
      <c r="G10" s="35" t="s">
        <v>120</v>
      </c>
    </row>
    <row r="11" customFormat="false" ht="15" hidden="false" customHeight="true" outlineLevel="0" collapsed="false">
      <c r="A11" s="1" t="s">
        <v>121</v>
      </c>
      <c r="B11" s="36" t="n">
        <f aca="false">-B7</f>
        <v>-103000</v>
      </c>
      <c r="C11" s="13" t="s">
        <v>122</v>
      </c>
      <c r="F11" s="37" t="n">
        <f aca="false">B11</f>
        <v>-103000</v>
      </c>
      <c r="G11" s="38" t="n">
        <f aca="false">B11</f>
        <v>-103000</v>
      </c>
    </row>
    <row r="12" customFormat="false" ht="15" hidden="false" customHeight="true" outlineLevel="0" collapsed="false">
      <c r="A12" s="1" t="s">
        <v>123</v>
      </c>
      <c r="B12" s="30" t="n">
        <f aca="false">Projection_36M!B17</f>
        <v>-58598.86</v>
      </c>
      <c r="C12" s="13" t="s">
        <v>124</v>
      </c>
      <c r="F12" s="37" t="n">
        <f aca="false">B12</f>
        <v>-58598.86</v>
      </c>
      <c r="G12" s="38" t="n">
        <f aca="false">B12</f>
        <v>-58598.86</v>
      </c>
    </row>
    <row r="13" customFormat="false" ht="15" hidden="false" customHeight="true" outlineLevel="0" collapsed="false">
      <c r="A13" s="1" t="s">
        <v>125</v>
      </c>
      <c r="B13" s="30" t="n">
        <f aca="false">Projection_36M!C17</f>
        <v>-35250.75</v>
      </c>
      <c r="C13" s="13" t="s">
        <v>126</v>
      </c>
      <c r="F13" s="37" t="n">
        <f aca="false">B13</f>
        <v>-35250.75</v>
      </c>
      <c r="G13" s="38" t="n">
        <f aca="false">B13</f>
        <v>-35250.75</v>
      </c>
    </row>
    <row r="14" customFormat="false" ht="15" hidden="false" customHeight="true" outlineLevel="0" collapsed="false">
      <c r="A14" s="1" t="s">
        <v>127</v>
      </c>
      <c r="B14" s="30" t="n">
        <f aca="false">Projection_36M!D17</f>
        <v>75903.75</v>
      </c>
      <c r="C14" s="13" t="s">
        <v>128</v>
      </c>
      <c r="F14" s="37" t="n">
        <f aca="false">B16</f>
        <v>455422.5</v>
      </c>
      <c r="G14" s="38" t="n">
        <f aca="false">B14</f>
        <v>75903.75</v>
      </c>
    </row>
    <row r="15" customFormat="false" ht="15" hidden="false" customHeight="true" outlineLevel="0" collapsed="false">
      <c r="A15" s="5" t="s">
        <v>129</v>
      </c>
      <c r="B15" s="26" t="n">
        <f aca="false">B14*D15</f>
        <v>379518.75</v>
      </c>
      <c r="C15" s="13" t="s">
        <v>130</v>
      </c>
      <c r="D15" s="39" t="n">
        <v>5</v>
      </c>
    </row>
    <row r="16" customFormat="false" ht="15" hidden="false" customHeight="true" outlineLevel="0" collapsed="false">
      <c r="A16" s="25" t="s">
        <v>131</v>
      </c>
      <c r="B16" s="27" t="n">
        <f aca="false">B14+B15</f>
        <v>455422.5</v>
      </c>
      <c r="C16" s="13" t="s">
        <v>132</v>
      </c>
    </row>
    <row r="18" customFormat="false" ht="15" hidden="false" customHeight="true" outlineLevel="0" collapsed="false">
      <c r="A18" s="4" t="s">
        <v>133</v>
      </c>
      <c r="B18" s="4"/>
      <c r="C18" s="4"/>
      <c r="D18" s="4"/>
    </row>
    <row r="19" customFormat="false" ht="15" hidden="false" customHeight="true" outlineLevel="0" collapsed="false">
      <c r="A19" s="25" t="s">
        <v>134</v>
      </c>
      <c r="B19" s="40" t="n">
        <f aca="false">B11+NPV(Assumptions!B52,B12,B13,B16)</f>
        <v>118837.524550012</v>
      </c>
      <c r="C19" s="41" t="n">
        <f aca="false">Assumptions!B52</f>
        <v>0.15</v>
      </c>
      <c r="D19" s="42" t="s">
        <v>135</v>
      </c>
      <c r="E19" s="43" t="n">
        <f aca="false">B11+NPV(Assumptions!B52,B12,B13,B14)</f>
        <v>-130702.214087285</v>
      </c>
    </row>
    <row r="20" customFormat="false" ht="15" hidden="false" customHeight="true" outlineLevel="0" collapsed="false">
      <c r="A20" s="25" t="s">
        <v>136</v>
      </c>
      <c r="B20" s="44" t="n">
        <f aca="false">IRR(F11:F14,0.1)</f>
        <v>0.410597197138513</v>
      </c>
      <c r="C20" s="13" t="s">
        <v>137</v>
      </c>
      <c r="D20" s="42" t="s">
        <v>138</v>
      </c>
      <c r="E20" s="1" t="str">
        <f aca="false">IFERROR(IRR(G11:G14,0.1),"Does not recover in 3 years")</f>
        <v>Does not recover in 3 years</v>
      </c>
    </row>
    <row r="21" customFormat="false" ht="15" hidden="false" customHeight="true" outlineLevel="0" collapsed="false">
      <c r="A21" s="25" t="s">
        <v>139</v>
      </c>
      <c r="B21" s="44" t="n">
        <f aca="false">B14/B7</f>
        <v>0.736929611650485</v>
      </c>
    </row>
    <row r="22" customFormat="false" ht="15" hidden="false" customHeight="true" outlineLevel="0" collapsed="false">
      <c r="A22" s="25" t="s">
        <v>140</v>
      </c>
      <c r="B22" s="45" t="str">
        <f aca="false">IF(B12+B13&gt;=B7,2+IFERROR((B7-B12)/B13,0),IF(B12+B13+B14&gt;=B7,2+(B7-B12-B13)/B14,IF(B12&gt;=B7,1,"&gt;3 years")))</f>
        <v>&gt;3 years</v>
      </c>
    </row>
    <row r="24" customFormat="false" ht="15" hidden="false" customHeight="true" outlineLevel="0" collapsed="false">
      <c r="A24" s="4" t="s">
        <v>141</v>
      </c>
      <c r="B24" s="4"/>
      <c r="C24" s="4"/>
      <c r="D24" s="4"/>
    </row>
    <row r="25" customFormat="false" ht="15" hidden="false" customHeight="true" outlineLevel="0" collapsed="false">
      <c r="A25" s="5" t="s">
        <v>142</v>
      </c>
      <c r="B25" s="30" t="n">
        <f aca="false">Assumptions!C46</f>
        <v>18500</v>
      </c>
    </row>
    <row r="26" customFormat="false" ht="15" hidden="false" customHeight="true" outlineLevel="0" collapsed="false">
      <c r="A26" s="5" t="s">
        <v>13</v>
      </c>
      <c r="B26" s="46" t="n">
        <f aca="false">Assumptions!B15</f>
        <v>2.765</v>
      </c>
    </row>
    <row r="27" customFormat="false" ht="15" hidden="false" customHeight="true" outlineLevel="0" collapsed="false">
      <c r="A27" s="25" t="s">
        <v>143</v>
      </c>
      <c r="B27" s="47" t="n">
        <f aca="false">B25/B26</f>
        <v>6690.77757685353</v>
      </c>
    </row>
    <row r="28" customFormat="false" ht="15" hidden="false" customHeight="true" outlineLevel="0" collapsed="false">
      <c r="A28" s="25" t="s">
        <v>144</v>
      </c>
      <c r="B28" s="47" t="n">
        <f aca="false">B27/Assumptions!B19</f>
        <v>4460.51838456902</v>
      </c>
    </row>
    <row r="29" customFormat="false" ht="15" hidden="false" customHeight="true" outlineLevel="0" collapsed="false">
      <c r="A29" s="25" t="s">
        <v>145</v>
      </c>
      <c r="B29" s="45" t="n">
        <f aca="false">B28/(Assumptions!B21*Assumptions!B22)</f>
        <v>9.91226307682004</v>
      </c>
    </row>
  </sheetData>
  <mergeCells count="6">
    <mergeCell ref="A1:D1"/>
    <mergeCell ref="A2:D2"/>
    <mergeCell ref="A4:D4"/>
    <mergeCell ref="A9:D9"/>
    <mergeCell ref="A18:D18"/>
    <mergeCell ref="A24:D24"/>
  </mergeCells>
  <printOptions headings="false" gridLines="false" gridLinesSet="true" horizontalCentered="false" verticalCentered="false"/>
  <pageMargins left="0.75" right="0.75" top="0.511805555555556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33.11"/>
    <col collapsed="false" customWidth="true" hidden="false" outlineLevel="0" max="4" min="2" style="1" width="17.03"/>
    <col collapsed="false" customWidth="true" hidden="false" outlineLevel="0" max="5" min="5" style="1" width="38.52"/>
    <col collapsed="false" customWidth="false" hidden="false" outlineLevel="0" max="16384" min="6" style="1" width="8.24"/>
  </cols>
  <sheetData>
    <row r="1" customFormat="false" ht="27.75" hidden="false" customHeight="true" outlineLevel="0" collapsed="false">
      <c r="A1" s="17" t="s">
        <v>146</v>
      </c>
      <c r="B1" s="17"/>
      <c r="C1" s="17"/>
      <c r="D1" s="17"/>
      <c r="E1" s="17"/>
    </row>
    <row r="2" customFormat="false" ht="15" hidden="false" customHeight="true" outlineLevel="0" collapsed="false">
      <c r="A2" s="3" t="s">
        <v>147</v>
      </c>
      <c r="B2" s="3"/>
      <c r="C2" s="3"/>
      <c r="D2" s="3"/>
      <c r="E2" s="3"/>
    </row>
    <row r="4" customFormat="false" ht="15" hidden="false" customHeight="true" outlineLevel="0" collapsed="false">
      <c r="A4" s="19" t="s">
        <v>97</v>
      </c>
      <c r="B4" s="19" t="s">
        <v>148</v>
      </c>
      <c r="C4" s="19" t="s">
        <v>149</v>
      </c>
      <c r="D4" s="19" t="s">
        <v>150</v>
      </c>
      <c r="E4" s="19" t="s">
        <v>151</v>
      </c>
    </row>
    <row r="5" customFormat="false" ht="15" hidden="false" customHeight="true" outlineLevel="0" collapsed="false">
      <c r="A5" s="5" t="s">
        <v>152</v>
      </c>
      <c r="B5" s="11" t="n">
        <v>5</v>
      </c>
      <c r="C5" s="22" t="n">
        <v>9</v>
      </c>
      <c r="D5" s="11" t="n">
        <v>14</v>
      </c>
      <c r="E5" s="13" t="s">
        <v>153</v>
      </c>
    </row>
    <row r="6" customFormat="false" ht="15" hidden="false" customHeight="true" outlineLevel="0" collapsed="false">
      <c r="A6" s="5" t="s">
        <v>154</v>
      </c>
      <c r="B6" s="7" t="n">
        <v>0.2</v>
      </c>
      <c r="C6" s="24" t="n">
        <v>0.3</v>
      </c>
      <c r="D6" s="7" t="n">
        <v>0.4</v>
      </c>
      <c r="E6" s="13" t="s">
        <v>155</v>
      </c>
    </row>
    <row r="7" customFormat="false" ht="15" hidden="false" customHeight="true" outlineLevel="0" collapsed="false">
      <c r="A7" s="5" t="s">
        <v>156</v>
      </c>
      <c r="B7" s="11" t="n">
        <v>1200</v>
      </c>
      <c r="C7" s="22" t="n">
        <v>1500</v>
      </c>
      <c r="D7" s="11" t="n">
        <v>2000</v>
      </c>
      <c r="E7" s="13" t="s">
        <v>157</v>
      </c>
    </row>
    <row r="8" customFormat="false" ht="15" hidden="false" customHeight="true" outlineLevel="0" collapsed="false">
      <c r="A8" s="5" t="s">
        <v>158</v>
      </c>
      <c r="B8" s="48" t="n">
        <v>1</v>
      </c>
      <c r="C8" s="49" t="n">
        <v>1.5</v>
      </c>
      <c r="D8" s="48" t="n">
        <v>2</v>
      </c>
      <c r="E8" s="13" t="s">
        <v>159</v>
      </c>
    </row>
    <row r="9" customFormat="false" ht="15" hidden="false" customHeight="true" outlineLevel="0" collapsed="false">
      <c r="A9" s="5" t="s">
        <v>160</v>
      </c>
      <c r="B9" s="11" t="n">
        <v>180</v>
      </c>
      <c r="C9" s="22" t="n">
        <v>200</v>
      </c>
      <c r="D9" s="11" t="n">
        <v>250</v>
      </c>
      <c r="E9" s="13" t="s">
        <v>161</v>
      </c>
    </row>
    <row r="10" customFormat="false" ht="15" hidden="false" customHeight="true" outlineLevel="0" collapsed="false">
      <c r="A10" s="42" t="s">
        <v>162</v>
      </c>
      <c r="B10" s="1" t="n">
        <f aca="false">Projection_36M!B7/(C5*C7*C6)</f>
        <v>0.404320987654321</v>
      </c>
    </row>
    <row r="12" customFormat="false" ht="15" hidden="false" customHeight="true" outlineLevel="0" collapsed="false">
      <c r="A12" s="4" t="s">
        <v>163</v>
      </c>
      <c r="B12" s="4"/>
      <c r="C12" s="4"/>
      <c r="D12" s="4"/>
      <c r="E12" s="4"/>
    </row>
    <row r="13" customFormat="false" ht="15" hidden="false" customHeight="true" outlineLevel="0" collapsed="false">
      <c r="A13" s="12" t="s">
        <v>164</v>
      </c>
      <c r="B13" s="12" t="s">
        <v>148</v>
      </c>
      <c r="C13" s="12" t="s">
        <v>149</v>
      </c>
      <c r="D13" s="12" t="s">
        <v>150</v>
      </c>
      <c r="E13" s="12" t="s">
        <v>165</v>
      </c>
    </row>
    <row r="14" customFormat="false" ht="15" hidden="false" customHeight="true" outlineLevel="0" collapsed="false">
      <c r="A14" s="5" t="s">
        <v>166</v>
      </c>
      <c r="B14" s="23" t="n">
        <f aca="false">B5*B7*B6*$B$10</f>
        <v>485.185185185185</v>
      </c>
      <c r="C14" s="23" t="n">
        <f aca="false">C5*C7*C6*$B$10</f>
        <v>1637.5</v>
      </c>
      <c r="D14" s="23" t="n">
        <f aca="false">D5*D7*D6*$B$10</f>
        <v>4528.3950617284</v>
      </c>
      <c r="E14" s="50" t="n">
        <f aca="false">D14/B14</f>
        <v>9.33333333333333</v>
      </c>
    </row>
    <row r="15" customFormat="false" ht="15" hidden="false" customHeight="true" outlineLevel="0" collapsed="false">
      <c r="A15" s="5" t="s">
        <v>167</v>
      </c>
      <c r="B15" s="26" t="n">
        <f aca="false">B14*B8*12*Assumptions!B5</f>
        <v>57640</v>
      </c>
      <c r="C15" s="26" t="n">
        <f aca="false">C14*C8*12*Assumptions!B5</f>
        <v>291802.5</v>
      </c>
      <c r="D15" s="26" t="n">
        <f aca="false">D14*D8*12*Assumptions!B5</f>
        <v>1075946.66666667</v>
      </c>
      <c r="E15" s="50" t="n">
        <f aca="false">D15/B15</f>
        <v>18.6666666666667</v>
      </c>
    </row>
    <row r="16" customFormat="false" ht="15" hidden="false" customHeight="true" outlineLevel="0" collapsed="false">
      <c r="A16" s="5" t="s">
        <v>168</v>
      </c>
      <c r="B16" s="26" t="n">
        <f aca="false">B14*B8*12*Assumptions!B15</f>
        <v>16098.4444444444</v>
      </c>
      <c r="C16" s="26" t="n">
        <f aca="false">C14*C8*12*Assumptions!B15</f>
        <v>81498.375</v>
      </c>
      <c r="D16" s="26" t="n">
        <f aca="false">D14*D8*12*Assumptions!B15</f>
        <v>300504.296296296</v>
      </c>
      <c r="E16" s="50" t="n">
        <f aca="false">D16/B16</f>
        <v>18.6666666666667</v>
      </c>
    </row>
    <row r="18" customFormat="false" ht="15" hidden="false" customHeight="true" outlineLevel="0" collapsed="false">
      <c r="A18" s="4" t="s">
        <v>169</v>
      </c>
      <c r="B18" s="4"/>
      <c r="C18" s="4"/>
      <c r="D18" s="4"/>
      <c r="E18" s="4"/>
    </row>
    <row r="19" customFormat="false" ht="15" hidden="false" customHeight="true" outlineLevel="0" collapsed="false">
      <c r="A19" s="5" t="s">
        <v>170</v>
      </c>
      <c r="B19" s="51" t="s">
        <v>171</v>
      </c>
      <c r="C19" s="51"/>
      <c r="D19" s="51"/>
      <c r="E19" s="51"/>
    </row>
    <row r="20" customFormat="false" ht="15" hidden="false" customHeight="true" outlineLevel="0" collapsed="false">
      <c r="A20" s="5" t="s">
        <v>172</v>
      </c>
      <c r="B20" s="51" t="s">
        <v>173</v>
      </c>
      <c r="C20" s="51"/>
      <c r="D20" s="51"/>
      <c r="E20" s="51"/>
    </row>
    <row r="21" customFormat="false" ht="15" hidden="false" customHeight="true" outlineLevel="0" collapsed="false">
      <c r="A21" s="5" t="s">
        <v>174</v>
      </c>
      <c r="B21" s="51" t="s">
        <v>175</v>
      </c>
      <c r="C21" s="51"/>
      <c r="D21" s="51"/>
      <c r="E21" s="51"/>
    </row>
  </sheetData>
  <mergeCells count="7">
    <mergeCell ref="A1:E1"/>
    <mergeCell ref="A2:E2"/>
    <mergeCell ref="A12:E12"/>
    <mergeCell ref="A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0.511805555555556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2026-05-20T20:34:43Z</dcterms:created>
  <dc:creator>openpyxl</dc:creator>
  <dc:description/>
  <dc:language>en-US</dc:language>
  <cp:lastModifiedBy/>
  <dcterms:modified xsi:type="dcterms:W3CDTF">2026-05-28T13:34:52Z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